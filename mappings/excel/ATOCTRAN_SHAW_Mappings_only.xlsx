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C:\Users\D59367\Downloads\"/>
    </mc:Choice>
  </mc:AlternateContent>
  <xr:revisionPtr revIDLastSave="0" documentId="8_{6403E288-18B8-40C6-9ECC-1E5A78542C77}" xr6:coauthVersionLast="47" xr6:coauthVersionMax="47" xr10:uidLastSave="{00000000-0000-0000-0000-000000000000}"/>
  <bookViews>
    <workbookView xWindow="-120" yWindow="-120" windowWidth="29040" windowHeight="15720" tabRatio="853" firstSheet="1" activeTab="1" xr2:uid="{00000000-000D-0000-FFFF-FFFF00000000}"/>
  </bookViews>
  <sheets>
    <sheet name="Revision History" sheetId="11" r:id="rId1"/>
    <sheet name="100" sheetId="17" r:id="rId2"/>
    <sheet name="200" sheetId="18" r:id="rId3"/>
    <sheet name="300" sheetId="20" r:id="rId4"/>
    <sheet name="500" sheetId="22" state="hidden" r:id="rId5"/>
    <sheet name="605" sheetId="23" r:id="rId6"/>
    <sheet name="700" sheetId="26" r:id="rId7"/>
    <sheet name="900" sheetId="28" r:id="rId8"/>
    <sheet name="060" sheetId="30" r:id="rId9"/>
  </sheets>
  <externalReferences>
    <externalReference r:id="rId10"/>
    <externalReference r:id="rId11"/>
  </externalReferences>
  <definedNames>
    <definedName name="a">[1]Vars!#REF!</definedName>
    <definedName name="Application">#REF!</definedName>
    <definedName name="Categories">[1]Vars!#REF!</definedName>
    <definedName name="category">[1]Vars!#REF!</definedName>
    <definedName name="DataFlow">[1]Vars!#REF!</definedName>
    <definedName name="DataFormat">[1]Vars!#REF!</definedName>
    <definedName name="DataType">[1]Vars!#REF!</definedName>
    <definedName name="Degree">[1]Vars!#REF!</definedName>
    <definedName name="Functional">[1]Vars!#REF!</definedName>
    <definedName name="Gap">[1]Vars!#REF!</definedName>
    <definedName name="GapChars">[1]Vars!#REF!</definedName>
    <definedName name="InboundFrequency">[1]Vars!#REF!</definedName>
    <definedName name="IntegrationStyle">[1]Vars!#REF!</definedName>
    <definedName name="InterfaceStyle">[1]Vars!#REF!</definedName>
    <definedName name="InterfaceType">[1]Vars!#REF!</definedName>
    <definedName name="LOB">[1]Vars!#REF!</definedName>
    <definedName name="Mandatory">[1]Vars!#REF!</definedName>
    <definedName name="MessageType">[1]Vars!#REF!</definedName>
    <definedName name="Nonfunctional">[1]Vars!$A$3:$A$22</definedName>
    <definedName name="OutboundFrequency">[1]Vars!#REF!</definedName>
    <definedName name="Priorities">[1]Vars!$B$3:$B$5</definedName>
    <definedName name="Priority">#REF!</definedName>
    <definedName name="Project">#REF!</definedName>
    <definedName name="ReqTypes">[1]Vars!#REF!</definedName>
    <definedName name="REQUIRED_VALUE__SSV__4">#REF!</definedName>
    <definedName name="REQUIRED_VALUE__TSV__5">#REF!</definedName>
    <definedName name="REQUIRED_VALUE_1">#REF!</definedName>
    <definedName name="REQUIRED_VALUE_2">#REF!</definedName>
    <definedName name="REQUIRED_VALUE_3">#REF!</definedName>
    <definedName name="Risk">[1]Vars!#REF!</definedName>
    <definedName name="RiskType">[1]Vars!#REF!</definedName>
    <definedName name="Status">[1]Vars!$C$3:$C$10</definedName>
    <definedName name="Subcat">[1]Vars!#REF!</definedName>
    <definedName name="Subcategory">[1]Vars!$A$2</definedName>
    <definedName name="TransportProtocol">[1]Vars!#REF!</definedName>
    <definedName name="ttttt">[2]Vars!$B$3:$B$5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30" l="1"/>
  <c r="T6" i="30" s="1"/>
  <c r="T7" i="30" s="1"/>
</calcChain>
</file>

<file path=xl/sharedStrings.xml><?xml version="1.0" encoding="utf-8"?>
<sst xmlns="http://schemas.openxmlformats.org/spreadsheetml/2006/main" count="1040" uniqueCount="272">
  <si>
    <t>DATE</t>
  </si>
  <si>
    <t>VERSION</t>
  </si>
  <si>
    <t>TAB NAME</t>
  </si>
  <si>
    <t>DESCRIPTION</t>
  </si>
  <si>
    <t>AUTHOR</t>
  </si>
  <si>
    <t>v1.0</t>
  </si>
  <si>
    <t>ATOCTRAN.txt</t>
  </si>
  <si>
    <t>Initial Version</t>
  </si>
  <si>
    <t>Anurag Bhatia</t>
  </si>
  <si>
    <t>v1.1</t>
  </si>
  <si>
    <t>FilterLogic
900</t>
  </si>
  <si>
    <t>added CASW to #4 and #5
LOCATION-CODE (transaction level filter)</t>
  </si>
  <si>
    <t>v1.2</t>
  </si>
  <si>
    <t>605 Filter in Transformation Logic of LOCATION-CODE</t>
  </si>
  <si>
    <t>v1.3</t>
  </si>
  <si>
    <t>200
300
605
700
900
060</t>
  </si>
  <si>
    <t>ACCT-NUM
ACCT-NUM
ACCT-NUM
ACCT-NUM
ACCT-NUM
ACCT-NUM</t>
  </si>
  <si>
    <t xml:space="preserve">FilterLogic
</t>
  </si>
  <si>
    <t xml:space="preserve">Filter Logic - Changed as per Latest P327 </t>
  </si>
  <si>
    <t>Rohit Sahai</t>
  </si>
  <si>
    <t>v1.4</t>
  </si>
  <si>
    <t>Filter</t>
  </si>
  <si>
    <t>v1.5</t>
  </si>
  <si>
    <t>Clear all filters in Java during SIT – 2/25/2021. This should be revisited later, if required. Currently all filters are applied at Mainframes.”</t>
  </si>
  <si>
    <t>Kola Olatunbposun</t>
  </si>
  <si>
    <t>PREVIOUS-CCI</t>
  </si>
  <si>
    <t>US1444600: Updated logic for TR-PROC-DTE and TR-TOTAL-AMT</t>
  </si>
  <si>
    <t>Michael Bumpass</t>
  </si>
  <si>
    <t>v1.6</t>
  </si>
  <si>
    <t>Trasactions Worksheet</t>
  </si>
  <si>
    <t>Some the transactions codes cancelled to be removed from the code</t>
  </si>
  <si>
    <t>Anil</t>
  </si>
  <si>
    <t>APPS</t>
  </si>
  <si>
    <t>SOURCE</t>
  </si>
  <si>
    <t>Review Comments</t>
  </si>
  <si>
    <t>Transformation Logic</t>
  </si>
  <si>
    <t>TARGET</t>
  </si>
  <si>
    <t>Last Update Date</t>
  </si>
  <si>
    <t>Sprint Number</t>
  </si>
  <si>
    <t>Source System</t>
  </si>
  <si>
    <t>Table or File Name</t>
  </si>
  <si>
    <t>Column or Field Name</t>
  </si>
  <si>
    <t>Definition</t>
  </si>
  <si>
    <t xml:space="preserve">Datatype  </t>
  </si>
  <si>
    <t>Position</t>
  </si>
  <si>
    <t>Length</t>
  </si>
  <si>
    <t>Delimiter if any</t>
  </si>
  <si>
    <t>Valid Values</t>
  </si>
  <si>
    <t>Target System</t>
  </si>
  <si>
    <t>Record Type</t>
  </si>
  <si>
    <t>Screen Name</t>
  </si>
  <si>
    <t>Datatype</t>
  </si>
  <si>
    <t>Format</t>
  </si>
  <si>
    <t>Required?</t>
  </si>
  <si>
    <t>Notes</t>
  </si>
  <si>
    <t>Identifies the last update date by BA</t>
  </si>
  <si>
    <t>Identifies the sprint in which developers programmed the field</t>
  </si>
  <si>
    <t>Identifies the system that is the source of the target data</t>
  </si>
  <si>
    <t>Name of the file or table that is being used to source the target data</t>
  </si>
  <si>
    <t>Name of the column or field that is being used to source the target data</t>
  </si>
  <si>
    <t>Definition of the data element in the source system</t>
  </si>
  <si>
    <t>Data type of the data element in the source system</t>
  </si>
  <si>
    <t>Length of the element in the target system</t>
  </si>
  <si>
    <t>Identifies the Nullability of the data element in the source system</t>
  </si>
  <si>
    <t>An English description of the functional algorithms which handle information exchange between data stores. It is not intended for the actual code or query that will be executed. (Provided by Development)</t>
  </si>
  <si>
    <t>Identifies the system that is the target for the information</t>
  </si>
  <si>
    <t>Name of the file or table that is the target of the information</t>
  </si>
  <si>
    <t>Name of the Record that is the target of the information</t>
  </si>
  <si>
    <t>Name of the field on CGI360 Screen</t>
  </si>
  <si>
    <t>Name of the column or field that is the target of the information</t>
  </si>
  <si>
    <t>Definition of the data element in the target system. If the meaning of the value doesn’t differ from the source, this information is not required</t>
  </si>
  <si>
    <t>Data type  of the element in the target system</t>
  </si>
  <si>
    <t>Identifies the values a source field could have</t>
  </si>
  <si>
    <r>
      <rPr>
        <b/>
        <sz val="10"/>
        <rFont val="Calibri"/>
        <family val="2"/>
        <scheme val="minor"/>
      </rPr>
      <t xml:space="preserve">Create separate individual 100 records for all possible Location-Codes with following hard-coded values: 
100030, 100040, 200000
For Day 0, only record type 100 will be created; and, just for 3 LOCATION CODES - 100030, 100040 &amp; 200000
</t>
    </r>
    <r>
      <rPr>
        <sz val="10"/>
        <rFont val="Calibri"/>
        <family val="2"/>
        <scheme val="minor"/>
      </rPr>
      <t xml:space="preserve">
Credit Card = 100010
Business Banking = 100020
Loans &amp; Lines = 100030
DDA = 100040
Other – Ad-Hoc = 100050
Customer Portfolio = 200000</t>
    </r>
  </si>
  <si>
    <t>LOCATION-CODE</t>
  </si>
  <si>
    <t>Location Code for Account</t>
  </si>
  <si>
    <t>String</t>
  </si>
  <si>
    <t>Y</t>
  </si>
  <si>
    <t>Processing Date / Cycle IDs Processed
• Not account related
• One required for each APPS Location Code</t>
  </si>
  <si>
    <t xml:space="preserve">Nullable --&gt; Leave Blank
</t>
  </si>
  <si>
    <t>ACCT-NUM</t>
  </si>
  <si>
    <t>Account Number</t>
  </si>
  <si>
    <t>N</t>
  </si>
  <si>
    <t>Set to spaces</t>
  </si>
  <si>
    <t>Default to '100'</t>
  </si>
  <si>
    <t>TRANSACTION-CODE</t>
  </si>
  <si>
    <t>Type of Transaction</t>
  </si>
  <si>
    <t>"100"</t>
  </si>
  <si>
    <t>Batch Date</t>
  </si>
  <si>
    <t>TRANSACTION-DATE</t>
  </si>
  <si>
    <t>Date of Transaction</t>
  </si>
  <si>
    <t>Date</t>
  </si>
  <si>
    <t>CCYYMMDD</t>
  </si>
  <si>
    <t>Populate with forty 0's</t>
  </si>
  <si>
    <t>CYCLE-ARRAY-TRANS-AREA</t>
  </si>
  <si>
    <t xml:space="preserve">Contains up to 20 entries (days of the month) that specify the billing cycles being processed.  If less than 20 cycles are processed, the other entries must be initialized to zeroes. </t>
  </si>
  <si>
    <t>Numeric</t>
  </si>
  <si>
    <t>9(2), 20 occur.</t>
  </si>
  <si>
    <t>For Customer Portfolio locations, all should be zeroes</t>
  </si>
  <si>
    <t>Default to '100030'</t>
  </si>
  <si>
    <t>SHAW</t>
  </si>
  <si>
    <t>Loan Master (IL80mast)
CCI or ctatran file/ table</t>
  </si>
  <si>
    <t>BK + 
BR + 
CUS +
LN</t>
  </si>
  <si>
    <t>The Account Number identifies the loan.  It is composed of:
 Bank Number  Three positions
 Branch Number(Key) Three positions
 Customer Number Seven positions
 Loan Number  Four positions</t>
  </si>
  <si>
    <t>2-18
2-4
5-7
8-14
15-18</t>
  </si>
  <si>
    <t>"|"</t>
  </si>
  <si>
    <t xml:space="preserve">Txn Type 200 is created only for new accounts i.e.
 for accounts for which CCI = 0 or 2;
OR
for accounts not present in CCI file (ctoatran table)
Create just one 200 record per account;
If there are more than one Contacts for an account then Create just one 200 record and that is for a Primary Contact.
ACCT-NUM =  BR + CUS + LN
</t>
  </si>
  <si>
    <t>Default to '200'</t>
  </si>
  <si>
    <t>"200"</t>
  </si>
  <si>
    <t>Loan Master (IL80mast)</t>
  </si>
  <si>
    <t>DTE-LAST-RUN</t>
  </si>
  <si>
    <t xml:space="preserve">The Date Last Run (DTE-LAST-RUN) indicates the processing date of the last execution of the system.
</t>
  </si>
  <si>
    <t>S9(7)
Comp-3</t>
  </si>
  <si>
    <t>793-796</t>
  </si>
  <si>
    <t>CCI or ctatran file/ table</t>
  </si>
  <si>
    <r>
      <rPr>
        <b/>
        <sz val="10"/>
        <rFont val="Calibri"/>
        <family val="2"/>
        <scheme val="minor"/>
      </rPr>
      <t xml:space="preserve">Added 3/5/2021 : </t>
    </r>
    <r>
      <rPr>
        <sz val="10"/>
        <rFont val="Calibri"/>
        <family val="2"/>
        <scheme val="minor"/>
      </rPr>
      <t xml:space="preserve">If the account is present in CTOA tran file pick the CCI value from CTOA tran file 
else default to 0
Valid Values - 0 or 2
If value is 1 then we won't populate 200 record
Daily File - To be fetched from mainframe/Staging tables
</t>
    </r>
    <r>
      <rPr>
        <strike/>
        <sz val="10"/>
        <rFont val="Calibri"/>
        <family val="2"/>
        <scheme val="minor"/>
      </rPr>
      <t>Default to '0'
Valid Values - 0 or 2
If value is 1 then we won't populate 200 record</t>
    </r>
  </si>
  <si>
    <t>Current collections control indicator</t>
  </si>
  <si>
    <t>0,2</t>
  </si>
  <si>
    <t>Default to 200000</t>
  </si>
  <si>
    <t>PORTFOLIO-LOCATION-CODE</t>
  </si>
  <si>
    <t>If the Account is in a Location that uses Customer Portfolio processing, the Location Code of the parent Customer Portfolio.</t>
  </si>
  <si>
    <t>Populate only for Accounts in Roll-Up or Stand-Alone locations</t>
  </si>
  <si>
    <t>CIF</t>
  </si>
  <si>
    <t>contact-account.txt</t>
  </si>
  <si>
    <t>CONTACT-ID
ACCT-NUM
NAME-RELATIONSHIP</t>
  </si>
  <si>
    <t>CIN - Unique identifier for the Contact
The Account Number for the Contact-Account relationship.
The Name Relationship for the contact on the Account, e.g., Primary, Secondary, Comaker.</t>
  </si>
  <si>
    <t>278
308
326</t>
  </si>
  <si>
    <t>24
18
1</t>
  </si>
  <si>
    <t>Select CONTACT-ID from contact-account.txt where ACCT-NUM = ILMAST-KEY AND NAME-RELATIONSHIP = 'A' 
[since we need to create only one Transaction 200 and that's for Primary Account holder]</t>
  </si>
  <si>
    <t>CUSTOMER-PORTFOLIO ID</t>
  </si>
  <si>
    <t>If the Account is in a Location that uses Customer Portfolio processing, the Portfolio ID of the parent Customer Portfolio.</t>
  </si>
  <si>
    <r>
      <rPr>
        <sz val="10"/>
        <color rgb="FF000000"/>
        <rFont val="Calibri"/>
        <scheme val="minor"/>
      </rPr>
      <t xml:space="preserve">Select CONTACT-ID from contact-account.txt where ACCT-NUM = ILMAST-KEY AND NAME-RELATIONSHIP = 'A'
</t>
    </r>
    <r>
      <rPr>
        <sz val="10"/>
        <color rgb="FFFF0000"/>
        <rFont val="Calibri"/>
        <scheme val="minor"/>
      </rPr>
      <t>[since we need to create only one Transaction 200 and that's for Primary Account holder]</t>
    </r>
  </si>
  <si>
    <t>CUSTOMER-PORTFOLIO-CONTACT-ID</t>
  </si>
  <si>
    <t>If the Account is in a Location that uses Customer Portfolio processing, the Contact ID of the parent Customer Portfolio. The Contact must be an existing Contact.</t>
  </si>
  <si>
    <t>Transaction File (IL80TR)</t>
  </si>
  <si>
    <t>TR-DESC</t>
  </si>
  <si>
    <t>Transaction Description</t>
  </si>
  <si>
    <t>X(04)</t>
  </si>
  <si>
    <t xml:space="preserve">Default to '100030'
</t>
  </si>
  <si>
    <t>R_TR_BR (TR-BR) +
R_TR_CUS (TR-CUS) +
R_TR_LN (TR-LN)</t>
  </si>
  <si>
    <t>Branch +
Customer +
Loan Number</t>
  </si>
  <si>
    <t>Integer</t>
  </si>
  <si>
    <t>3
7
4</t>
  </si>
  <si>
    <r>
      <t xml:space="preserve">Generate this record only when CCI = 1, 9
</t>
    </r>
    <r>
      <rPr>
        <sz val="10"/>
        <rFont val="Calibri"/>
        <family val="2"/>
        <scheme val="minor"/>
      </rPr>
      <t xml:space="preserve">
R_TR_BR (TR-BR) +
R_TR_CUS (TR-CUS) +
R_TR_LN (TR-LN)</t>
    </r>
  </si>
  <si>
    <t>Default to "300" - If record has valid mapping for CATEGORY-CODE (mapped to TransactionCode)</t>
  </si>
  <si>
    <t>"300"</t>
  </si>
  <si>
    <t>TR-PROC-DTE</t>
  </si>
  <si>
    <t>Transaction Posting Date</t>
  </si>
  <si>
    <t>S9(07)
Source date format - CYYDDD</t>
  </si>
  <si>
    <t>Effective Date???</t>
  </si>
  <si>
    <t>If the TR_PROC_DTE and BATCH_DATE are not equal, then TR_PROC_DATE = BATCH_DATE, else TR_PROC_DTE.</t>
  </si>
  <si>
    <t>TR-TR
TR-AC-CODE
TR-TOTAL-AMT
TR-PROC-DTE
TR-DESC</t>
  </si>
  <si>
    <t>Transaction Code
Action Code
Total Transaction Amount
Transaction Posting Date
Transaction Description</t>
  </si>
  <si>
    <t>9(02)
X(01)
S9(09)V9(02)
S9(07)
X(04)</t>
  </si>
  <si>
    <t>29
31
60
21
56</t>
  </si>
  <si>
    <t>2
1
6
4
4</t>
  </si>
  <si>
    <r>
      <rPr>
        <b/>
        <sz val="11"/>
        <rFont val="Calibri"/>
        <family val="2"/>
        <scheme val="minor"/>
      </rPr>
      <t xml:space="preserve">Need to create following three records for each account:
</t>
    </r>
    <r>
      <rPr>
        <sz val="10"/>
        <rFont val="Calibri"/>
        <family val="2"/>
        <scheme val="minor"/>
      </rPr>
      <t xml:space="preserve">
Add all source's payments (TR-TOTAL-AMT (if the TR_TOTAL_AMT is NULL or 0, then TR_TOTAL_AMT = TR_PRIN + TR_INT + TR_MISC else TR_TOTAL_AMT)) for a particular account in one record </t>
    </r>
    <r>
      <rPr>
        <sz val="10"/>
        <color rgb="FFC00000"/>
        <rFont val="Calibri"/>
        <family val="2"/>
        <scheme val="minor"/>
      </rPr>
      <t>(for all payment transactions from source refer tab 'Transactions Worksheet')</t>
    </r>
    <r>
      <rPr>
        <sz val="10"/>
        <rFont val="Calibri"/>
        <family val="2"/>
        <scheme val="minor"/>
      </rPr>
      <t xml:space="preserve">, where TR-PROC-DTE = Batch Date and (TR-TR + TR-AC-CODE) in columnB of tab 'Transactions Worksheet' and TR-DESC not equal "****"
and
Add all source's credit txns (TR-TOTAL-AMT (if the TR_TOTAL_AMT is NULL or 0, then TR_TOTAL_AMT = TR_PRIN + TR_INT + TR_MISC else TR_TOTAL_AMT)) for a particular account in one record </t>
    </r>
    <r>
      <rPr>
        <sz val="10"/>
        <color rgb="FFC00000"/>
        <rFont val="Calibri"/>
        <family val="2"/>
        <scheme val="minor"/>
      </rPr>
      <t>(for all credit transactions from source refer tab 'Transactions Worksheet')</t>
    </r>
    <r>
      <rPr>
        <sz val="10"/>
        <rFont val="Calibri"/>
        <family val="2"/>
        <scheme val="minor"/>
      </rPr>
      <t xml:space="preserve">, where TR-PROC-DTE = Batch Date  and (TR-TR + TR-AC-CODE) in columnC of tab 'Transactions Worksheet'  and TR-DESC not equal "****"
and 
Add all source's debit txns (TR-TOTAL-AMT (if the TR_TOTAL_AMT is NULL or 0, then TR_TOTAL_AMT = TR_PRIN + TR_INT + TR_MISC else TR_TOTAL_AMT)) for a particular account in one record </t>
    </r>
    <r>
      <rPr>
        <sz val="10"/>
        <color rgb="FFC00000"/>
        <rFont val="Calibri"/>
        <family val="2"/>
        <scheme val="minor"/>
      </rPr>
      <t>(for all debit transactions from source refer tab 'Transactions Worksheet')</t>
    </r>
    <r>
      <rPr>
        <sz val="10"/>
        <rFont val="Calibri"/>
        <family val="2"/>
        <scheme val="minor"/>
      </rPr>
      <t xml:space="preserve">, where TR-PROC-DTE = Batch Date and (TR-TR + TR-AC-CODE) in columnD of tab 'Transactions Worksheet'  and TR-DESC not equal "****"
</t>
    </r>
  </si>
  <si>
    <t>TRANSACTION-AMOUNT</t>
  </si>
  <si>
    <t>The total currency amount of the transaction.</t>
  </si>
  <si>
    <t>9(12)V9(6)</t>
  </si>
  <si>
    <t>Default to '00'</t>
  </si>
  <si>
    <t>NUMBER-OF-DEBITS</t>
  </si>
  <si>
    <t xml:space="preserve">The number of debits in the day.  This field must be numeric and is used only when the CATAGORY-CODE is “New Debits.” </t>
  </si>
  <si>
    <t>9(2)</t>
  </si>
  <si>
    <t xml:space="preserve">TR-TR
TR-AC-CODE
</t>
  </si>
  <si>
    <t xml:space="preserve">Transaction Code
Action Code
</t>
  </si>
  <si>
    <t xml:space="preserve">9(02)
X(01)
</t>
  </si>
  <si>
    <t xml:space="preserve">29
31
</t>
  </si>
  <si>
    <t xml:space="preserve">2
1
</t>
  </si>
  <si>
    <r>
      <rPr>
        <b/>
        <sz val="11"/>
        <rFont val="Calibri"/>
        <family val="2"/>
        <scheme val="minor"/>
      </rPr>
      <t xml:space="preserve">Need to create following three records for each account based on Transaction-Amount (row 8 above):
</t>
    </r>
    <r>
      <rPr>
        <sz val="11"/>
        <rFont val="Calibri"/>
        <family val="2"/>
        <scheme val="minor"/>
      </rPr>
      <t xml:space="preserve">
For a Payment Transaction, set '2';
For a Credit Transaction, set '3';
For a Debit Transaction, set '1';
ELSE </t>
    </r>
    <r>
      <rPr>
        <b/>
        <sz val="11"/>
        <rFont val="Calibri"/>
        <family val="2"/>
        <scheme val="minor"/>
      </rPr>
      <t>'Don't Create this Record'</t>
    </r>
    <r>
      <rPr>
        <sz val="11"/>
        <rFont val="Calibri"/>
        <family val="2"/>
        <scheme val="minor"/>
      </rPr>
      <t xml:space="preserve">
</t>
    </r>
  </si>
  <si>
    <t>CATEGORY-CODE</t>
  </si>
  <si>
    <t>Type of credit/debit</t>
  </si>
  <si>
    <t>1 - New Debits
2 - Payments
3 - Other-Credits
4 - EAP Payment.</t>
  </si>
  <si>
    <t>Leave Blank &lt;spaces&gt;</t>
  </si>
  <si>
    <t>THIRD-PARTY-ID</t>
  </si>
  <si>
    <t xml:space="preserve">The unique identifier of the outside collection agency or other third party. </t>
  </si>
  <si>
    <t>Default to '000000000000000000'</t>
  </si>
  <si>
    <t>THIRD-PARTY-COMM-AMT</t>
  </si>
  <si>
    <t>For payments and payment reversals this is the commission amount, for expenses and expense reversals this is the expense or expense reversal amount, and for adjustments to commissions and expenses it is the adjustment amount.</t>
  </si>
  <si>
    <t>BATCH-INFO</t>
  </si>
  <si>
    <t>The information describing the batch.</t>
  </si>
  <si>
    <t>When Recovery Accounting created file field contains the details of Batch Number - Batch Sequence Number - Bank Number - App Number.   
o Example, 9999999-99999-99999-999</t>
  </si>
  <si>
    <t>ORIGINAL-TRAN-INFO</t>
  </si>
  <si>
    <t>The original transaction associated with the account.</t>
  </si>
  <si>
    <t>When Recovery Accounting created file field contains details of Batch TRN-COD-LHS - PMT-SRC-COD-LHS.   
o Example, 64000-TRU</t>
  </si>
  <si>
    <t>THIRD-PARTY-AMT-AFFECTED</t>
  </si>
  <si>
    <t>Used to indicate how this transaction affects the Third Party.</t>
  </si>
  <si>
    <r>
      <t xml:space="preserve">A – Assigned Amount Only
C – Commission
</t>
    </r>
    <r>
      <rPr>
        <sz val="11"/>
        <color rgb="FF00B050"/>
        <rFont val="Calibri"/>
        <family val="2"/>
        <scheme val="minor"/>
      </rPr>
      <t>X - Non Commissionable</t>
    </r>
    <r>
      <rPr>
        <sz val="11"/>
        <rFont val="Calibri"/>
        <family val="2"/>
        <scheme val="minor"/>
      </rPr>
      <t xml:space="preserve">
Y – An Expense that also affects the Assigned Amount
N – An Expense that does not affect the Assigned Amount since it is not included in the account’s payoff.</t>
    </r>
  </si>
  <si>
    <t>THIRD-PARTY-WITHHELD-FLAG</t>
  </si>
  <si>
    <t>An indicator specifying if commissions or expense were withheld by the third party.</t>
  </si>
  <si>
    <t>Y - Yes
N- No</t>
  </si>
  <si>
    <t>Default to '000'</t>
  </si>
  <si>
    <t>INPUT-SOURCE-CODE</t>
  </si>
  <si>
    <t>An optional field that can be used for the General Ledger mapping of Third Party transactions. This field must be numeric.</t>
  </si>
  <si>
    <t>9(3)</t>
  </si>
  <si>
    <t>REFERENCE-NUM</t>
  </si>
  <si>
    <t>An optional field that can be used to identify the Third Party Expense transaction and could also be used for the General Ledger mapping of Third Party transactions.</t>
  </si>
  <si>
    <r>
      <rPr>
        <b/>
        <sz val="10"/>
        <color rgb="FFFF0000"/>
        <rFont val="Calibri"/>
        <family val="2"/>
        <scheme val="minor"/>
      </rPr>
      <t xml:space="preserve">Don't create this record for SHAW
</t>
    </r>
    <r>
      <rPr>
        <b/>
        <sz val="10"/>
        <rFont val="Calibri"/>
        <family val="2"/>
        <scheme val="minor"/>
      </rPr>
      <t xml:space="preserve">
Hard-code to 100030</t>
    </r>
    <r>
      <rPr>
        <sz val="10"/>
        <rFont val="Calibri"/>
        <family val="2"/>
        <scheme val="minor"/>
      </rPr>
      <t xml:space="preserve">
IF (SystemId = EK) then use Encore &amp; ALS.
FDR – Credit Card = 100010
Compass – Business Banking = 100020
Encore &amp; ALS – Loans &amp; Lines = 100030
Starcos – DDA = 100040
Other – Ad-Hoc = 100050
Customer Portfolio = 200000</t>
    </r>
  </si>
  <si>
    <t>Generate this record only when CCI = 1, 9</t>
  </si>
  <si>
    <r>
      <rPr>
        <b/>
        <sz val="10"/>
        <rFont val="Calibri"/>
        <family val="2"/>
        <scheme val="minor"/>
      </rPr>
      <t>Hard-Code to '500'</t>
    </r>
    <r>
      <rPr>
        <sz val="10"/>
        <rFont val="Calibri"/>
        <family val="2"/>
        <scheme val="minor"/>
      </rPr>
      <t xml:space="preserve"> since we have a default value for INCREASE-IND and it would never be Null</t>
    </r>
  </si>
  <si>
    <t>"500"</t>
  </si>
  <si>
    <t>Default to 'N'</t>
  </si>
  <si>
    <t>INCREASE-IND</t>
  </si>
  <si>
    <t>An indicator specifying a credit limit increase.  If “Y,” the credit limit was increased.  If “N,” the credit limit was not increased.</t>
  </si>
  <si>
    <t>Y,N</t>
  </si>
  <si>
    <t>Possible Field:
M-BBT-CRDT-LIMIT-CHG
M-BBT-CRDT-LIMIT-DTE</t>
  </si>
  <si>
    <t>Nullable --&gt; '0000…..'</t>
  </si>
  <si>
    <t>NEW-CREDIT-LIMIT</t>
  </si>
  <si>
    <t>The currency amount of the new credit limit.  Not currently used in APPS Enterprise processing.</t>
  </si>
  <si>
    <t>9(12)</t>
  </si>
  <si>
    <t>Refer to column 'Transformation Logic'</t>
  </si>
  <si>
    <r>
      <rPr>
        <b/>
        <sz val="10"/>
        <color rgb="FFFF0000"/>
        <rFont val="Calibri"/>
        <family val="2"/>
        <scheme val="minor"/>
      </rPr>
      <t xml:space="preserve">Create this record only for accounts that came in 090 record (i.e. MAS) of ctoatran.txt delta file
AND
ACTG-SYS-ID (in ctoatran master) NOT EQUAL TO ('CAS' or 'CASW')
</t>
    </r>
    <r>
      <rPr>
        <b/>
        <sz val="10"/>
        <rFont val="Calibri"/>
        <family val="2"/>
        <scheme val="minor"/>
      </rPr>
      <t xml:space="preserve">
Hard-code to 100030</t>
    </r>
    <r>
      <rPr>
        <sz val="10"/>
        <rFont val="Calibri"/>
        <family val="2"/>
        <scheme val="minor"/>
      </rPr>
      <t xml:space="preserve">
</t>
    </r>
  </si>
  <si>
    <t xml:space="preserve">Customer Portfolio Change
• Used for Customer Processing only
• This is for an Account in a Location that uses Customer Portfolio processing, and the Customer Portfolio ID of the parent is changed, i.e., new Customer Portfolio Location/Acct Num
</t>
  </si>
  <si>
    <r>
      <rPr>
        <strike/>
        <sz val="10"/>
        <rFont val="Calibri"/>
        <family val="2"/>
        <scheme val="minor"/>
      </rPr>
      <t xml:space="preserve">BK + 
</t>
    </r>
    <r>
      <rPr>
        <sz val="10"/>
        <rFont val="Calibri"/>
        <family val="2"/>
        <scheme val="minor"/>
      </rPr>
      <t>BR + 
CUS +
LN</t>
    </r>
  </si>
  <si>
    <r>
      <t xml:space="preserve">2-18
</t>
    </r>
    <r>
      <rPr>
        <strike/>
        <sz val="10"/>
        <rFont val="Calibri"/>
        <family val="2"/>
        <scheme val="minor"/>
      </rPr>
      <t>2-4</t>
    </r>
    <r>
      <rPr>
        <sz val="10"/>
        <rFont val="Calibri"/>
        <family val="2"/>
        <scheme val="minor"/>
      </rPr>
      <t xml:space="preserve">
5-7
8-14
15-18</t>
    </r>
  </si>
  <si>
    <t>Txn Type 605 is created only for manually set up  accounts i.e.
 for accounts for which CCI = 1;
AND
for accounts present in 090 txn (latest ctoatran delta file)
Create just one 605 record per account;
If there are more than one Contacts for an account then Create just one 605 record and that is for a Primary Contact.
ACCT-NUM = BR + CUS + LN</t>
  </si>
  <si>
    <r>
      <rPr>
        <b/>
        <sz val="10"/>
        <rFont val="Calibri"/>
        <family val="2"/>
        <scheme val="minor"/>
      </rPr>
      <t>Default to '605'</t>
    </r>
    <r>
      <rPr>
        <sz val="10"/>
        <rFont val="Calibri"/>
        <family val="2"/>
        <scheme val="minor"/>
      </rPr>
      <t xml:space="preserve"> </t>
    </r>
  </si>
  <si>
    <t>"605"</t>
  </si>
  <si>
    <t>Default to &lt;Batch Date&gt;</t>
  </si>
  <si>
    <t>NEW-PORTFOLIO-LOCATION-CODE</t>
  </si>
  <si>
    <r>
      <t xml:space="preserve">Select CONTACT-ID from contact-account.txt where ACCT-NUM = ILMAST-KEY AND NAME-RELATIONSHIP = 'A'
</t>
    </r>
    <r>
      <rPr>
        <sz val="10"/>
        <color rgb="FFFF0000"/>
        <rFont val="Calibri"/>
        <family val="2"/>
        <scheme val="minor"/>
      </rPr>
      <t>[since we need to create only one Transaction 200 and that's for Primary Account holder]</t>
    </r>
  </si>
  <si>
    <t>NEW-PORTFOLIO-ID</t>
  </si>
  <si>
    <t>NEW-PORTFOLIO-CONTACT-ID</t>
  </si>
  <si>
    <r>
      <rPr>
        <b/>
        <sz val="10"/>
        <rFont val="Calibri"/>
        <family val="2"/>
        <scheme val="minor"/>
      </rPr>
      <t>Hard-code to 100030</t>
    </r>
    <r>
      <rPr>
        <sz val="10"/>
        <rFont val="Calibri"/>
        <family val="2"/>
        <scheme val="minor"/>
      </rPr>
      <t xml:space="preserve">
</t>
    </r>
  </si>
  <si>
    <t>No-Good (NSF) Check
• Generated when the CCI = 1, 9
• OR Generated when the CCI = 0, 2 and a New Account (200) transaction is generated</t>
  </si>
  <si>
    <t>No-Good (NSF) Check
• Generated when the CCI = 1, 9
• OR Generated when the CCI = 0, 2 and a New Account (200) transaction is generated
R_TR_BR (TR-BR) +
R_TR_CUS (TR-CUS) +
R_TR_LN (TR-LN)</t>
  </si>
  <si>
    <t>"700" - If record has valid mapping for NG-CHECK-AMOUNT</t>
  </si>
  <si>
    <t>"700"</t>
  </si>
  <si>
    <t>S9(07)</t>
  </si>
  <si>
    <t>TR-TR
TR-AC-CODE
TR-TOTAL-AMT
TR-PROC-DTE</t>
  </si>
  <si>
    <t>Transaction Code
Action Code
Total Transaction Amount
Transaction Posting Date</t>
  </si>
  <si>
    <t>9(02)
X(01)
S9(09)V9(02)
S9(07)</t>
  </si>
  <si>
    <t>29
31
60
21</t>
  </si>
  <si>
    <t>2
1
6
4</t>
  </si>
  <si>
    <r>
      <rPr>
        <b/>
        <sz val="11"/>
        <rFont val="Calibri"/>
        <family val="2"/>
        <scheme val="minor"/>
      </rPr>
      <t xml:space="preserve">Need to create following record for each account:
</t>
    </r>
    <r>
      <rPr>
        <sz val="10"/>
        <rFont val="Calibri"/>
        <family val="2"/>
        <scheme val="minor"/>
      </rPr>
      <t xml:space="preserve">
Add all source's payment reversals (TR-TOTAL-AMT) for a particular account in one record </t>
    </r>
    <r>
      <rPr>
        <sz val="10"/>
        <color rgb="FFC00000"/>
        <rFont val="Calibri"/>
        <family val="2"/>
        <scheme val="minor"/>
      </rPr>
      <t>(for all payment transactions from source refer tab 'Transactions Worksheet')</t>
    </r>
    <r>
      <rPr>
        <sz val="10"/>
        <rFont val="Calibri"/>
        <family val="2"/>
        <scheme val="minor"/>
      </rPr>
      <t>, where TR-PROC-DATE = Batch Date and (TR-TR + TR-AC-CODE) in columnE of tab 'Transactions Worksheet'  and TR-DESC not equal "****"
IF none of the Transaction-Codes for Payment Reversals present in source file THEN Don't Create this Record</t>
    </r>
  </si>
  <si>
    <t>NG-CHECK-AMOUNT</t>
  </si>
  <si>
    <t>The currency amount of the no good check.</t>
  </si>
  <si>
    <t>ID of the third party providing the transaction</t>
  </si>
  <si>
    <t>The amount of commission or expense the Third Party believes they are due for this transaction or if the transaction is a reversal, the amount they are returning to the bank.</t>
  </si>
  <si>
    <t xml:space="preserve">When Recovery Accounting created file field contains the details of Batch Number - Batch Sequence Number - Bank Number - App Number.   
o Example, 9999999-99999-99999-999
</t>
  </si>
  <si>
    <t>The original transaction.</t>
  </si>
  <si>
    <t xml:space="preserve">When Recovery Accounting created file field contains details of Batch TRN-COD-LHS - PMT-SRC-COD-LHS.   
o Example, 64000-TRU
</t>
  </si>
  <si>
    <t>Indicates if the third party withheld money from the transaction</t>
  </si>
  <si>
    <t xml:space="preserve">String </t>
  </si>
  <si>
    <t>"C – Commission
X - Non Commissionable"</t>
  </si>
  <si>
    <t>Loan Master (IL80mast)
ctoatran table</t>
  </si>
  <si>
    <t>CHG-OFF-CD
M-DATE-PAID-OFF
ACTG-SYSTEM-ID</t>
  </si>
  <si>
    <t xml:space="preserve">The date that the charge-off was effective. </t>
  </si>
  <si>
    <t>X
S9(7)
Comp-3</t>
  </si>
  <si>
    <t>49-49
486-489</t>
  </si>
  <si>
    <t xml:space="preserve">0 - Open Active
R - Repossessed, in non-accrual status
P - Repossessed, in accruing status
1 - Charged Off
B - Bankruptcy, no notice
J - Bankruptcy, with notice
F - Foreclosed
C - Partial Charge Off
X - Redeemed Repo
N - Attempting Repossession
</t>
  </si>
  <si>
    <t xml:space="preserve">900 is a charge-off </t>
  </si>
  <si>
    <r>
      <rPr>
        <b/>
        <sz val="10"/>
        <color rgb="FFFF0000"/>
        <rFont val="Calibri"/>
        <family val="2"/>
        <scheme val="minor"/>
      </rPr>
      <t>Create this record only for Accounts which were charged-off yesterday (chrgoff_dt = batch date).</t>
    </r>
    <r>
      <rPr>
        <b/>
        <sz val="10"/>
        <rFont val="Calibri"/>
        <family val="2"/>
        <scheme val="minor"/>
      </rPr>
      <t xml:space="preserve">
i.e.
IF Charge-Off if CHG-OFF-CD = '1' and 
(M-DATE-PAID-OFF = Batch Date or 
ACTG-SYSTEM-ID != 'SHCO' or 'CAS' or 'CASW' or 'RA')
Hard-code to 100030</t>
    </r>
    <r>
      <rPr>
        <sz val="10"/>
        <rFont val="Calibri"/>
        <family val="2"/>
        <scheme val="minor"/>
      </rPr>
      <t xml:space="preserve">
</t>
    </r>
  </si>
  <si>
    <r>
      <rPr>
        <b/>
        <sz val="10"/>
        <color rgb="FFFF0000"/>
        <rFont val="Calibri"/>
        <family val="2"/>
        <scheme val="minor"/>
      </rPr>
      <t xml:space="preserve">ACCT-NUM = BR + CUS + LN
</t>
    </r>
    <r>
      <rPr>
        <b/>
        <sz val="10"/>
        <rFont val="Calibri"/>
        <family val="2"/>
        <scheme val="minor"/>
      </rPr>
      <t xml:space="preserve">
Write-Off
• Used to indicate a charge-off has occurred.
• Generated when the CCI = 1 or 9</t>
    </r>
  </si>
  <si>
    <t>"900" - If record has valid mapping for TRANSACTION-AMT
Else Don't create this record</t>
  </si>
  <si>
    <t>"900"</t>
  </si>
  <si>
    <t>M-CHARGE-OFF-AMT</t>
  </si>
  <si>
    <t>The Charge-off Amount field will be a monetary field to house the total amount of a charge-ff transaction resulting from a 36-C or 36-3 transaction.  If a full charge-off (36-C) transaction is processed, this field will be set to the total amount of the charge-off transaction.  If a partial charge-off (36-3) is processed, this field will be set to the total amount of the partial charge-off.  If a subsequent full charge-off (36-C) transaction is processed after the partial charge-off, the subsequent amount will be added to the Charge-off Amount.
For commitments, the Total Charge-off Amount will represent the cumulative amount of each of the Charge-off Amount fields at each loan or floor plan unit level.</t>
  </si>
  <si>
    <t>S9(9)V99 
Comp-3</t>
  </si>
  <si>
    <t>2356-2361</t>
  </si>
  <si>
    <t>IF M-CHARGE-OFF-AMT not null then M-CHARGE-OFF-AMT;
ELSE
Default to '+000000000000000000'</t>
  </si>
  <si>
    <t>TRANSACTION-AMT</t>
  </si>
  <si>
    <t>The currency amount to be written off.</t>
  </si>
  <si>
    <t xml:space="preserve">CHG-OFF-CD
</t>
  </si>
  <si>
    <t>X</t>
  </si>
  <si>
    <t>49-49</t>
  </si>
  <si>
    <r>
      <rPr>
        <sz val="10"/>
        <color rgb="FFFF0000"/>
        <rFont val="Calibri"/>
        <family val="2"/>
        <scheme val="minor"/>
      </rPr>
      <t xml:space="preserve">Default to '100030'
</t>
    </r>
    <r>
      <rPr>
        <sz val="10"/>
        <rFont val="Calibri"/>
        <family val="2"/>
        <scheme val="minor"/>
      </rPr>
      <t>060 Txn needs to be created for Day 0 as well</t>
    </r>
    <r>
      <rPr>
        <sz val="10"/>
        <color rgb="FFFF0000"/>
        <rFont val="Calibri"/>
        <family val="2"/>
        <scheme val="minor"/>
      </rPr>
      <t xml:space="preserve">
</t>
    </r>
    <r>
      <rPr>
        <b/>
        <sz val="10"/>
        <color rgb="FFFF0000"/>
        <rFont val="Calibri"/>
        <family val="2"/>
        <scheme val="minor"/>
      </rPr>
      <t>NOTE:</t>
    </r>
    <r>
      <rPr>
        <sz val="10"/>
        <color rgb="FFFF0000"/>
        <rFont val="Calibri"/>
        <family val="2"/>
        <scheme val="minor"/>
      </rPr>
      <t xml:space="preserve">
Don't create 060 for 
[New Accounts (i.e. for which 200 is generated or CCI != 1)
OR 
Charged-Off Accounts (ie. for which 900 is generated)]
In other words, Create 060 only for all active accounts which are not charged off i.e. where CCI = 1 and accounts NOT getting charged-off
</t>
    </r>
    <r>
      <rPr>
        <sz val="10"/>
        <rFont val="Calibri"/>
        <family val="2"/>
        <scheme val="minor"/>
      </rPr>
      <t xml:space="preserve">
Create just one 060 record per account;
If there are more than one Contacts for an account then Create just one 060 record and that is for a Primary Contact.</t>
    </r>
  </si>
  <si>
    <t>060</t>
  </si>
  <si>
    <t xml:space="preserve">Txn Type 060 is created only for pre-CO accounts that are not new i.e.
for accounts for which CCI = 1;
AND
CHG-OFF-CD NOT EQUAL '1' (not charged-off)
Create just one 060 record per account;
If there are more than one Contacts for an account then Create just one 060 record and that is for a Primary Contact.
ACCT-NUM = BR + CUS + LN
</t>
  </si>
  <si>
    <t>Default to 060</t>
  </si>
  <si>
    <t>"060"</t>
  </si>
  <si>
    <t>For Daily files:
Batch Date (ie. If C360 batch is running Today morning then Batch Date = Yesterday's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</si>
</sst>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b/>
      <sz val="14"/>
      <name val="Arial"/>
      <family val="2"/>
    </font>
    <font>
      <sz val="10"/>
      <name val="Arial"/>
      <family val="2"/>
    </font>
    <font>
      <sz val="10"/>
      <name val="Calibri"/>
      <family val="2"/>
      <scheme val="minor"/>
    </font>
    <font>
      <sz val="10"/>
      <color theme="1"/>
      <name val="Calibri"/>
      <family val="2"/>
      <scheme val="minor"/>
    </font>
    <font>
      <sz val="8"/>
      <name val="Trebuchet MS"/>
      <family val="2"/>
    </font>
    <font>
      <sz val="11"/>
      <name val="Calibri"/>
      <family val="2"/>
      <scheme val="minor"/>
    </font>
    <font>
      <b/>
      <sz val="10"/>
      <color theme="1"/>
      <name val="Calibri"/>
      <family val="2"/>
      <scheme val="minor"/>
    </font>
    <font>
      <sz val="10"/>
      <name val="Arial"/>
      <family val="2"/>
    </font>
    <font>
      <sz val="10"/>
      <color rgb="FFFF0000"/>
      <name val="Calibri"/>
      <family val="2"/>
      <scheme val="minor"/>
    </font>
    <font>
      <sz val="11"/>
      <name val="Arial"/>
      <family val="2"/>
    </font>
    <font>
      <sz val="11"/>
      <color rgb="FFFF0000"/>
      <name val="Arial"/>
      <family val="2"/>
    </font>
    <font>
      <b/>
      <sz val="10"/>
      <color rgb="FFFF0000"/>
      <name val="Calibri"/>
      <family val="2"/>
      <scheme val="minor"/>
    </font>
    <font>
      <b/>
      <sz val="11"/>
      <name val="Calibri"/>
      <family val="2"/>
      <scheme val="minor"/>
    </font>
    <font>
      <b/>
      <sz val="10"/>
      <name val="Calibri"/>
      <family val="2"/>
      <scheme val="minor"/>
    </font>
    <font>
      <sz val="11"/>
      <color rgb="FF00B050"/>
      <name val="Calibri"/>
      <family val="2"/>
      <scheme val="minor"/>
    </font>
    <font>
      <b/>
      <sz val="14"/>
      <color rgb="FF00B050"/>
      <name val="Arial"/>
      <family val="2"/>
    </font>
    <font>
      <sz val="10"/>
      <color rgb="FF00B050"/>
      <name val="Calibri"/>
      <family val="2"/>
      <scheme val="minor"/>
    </font>
    <font>
      <sz val="10"/>
      <color rgb="FF00B050"/>
      <name val="Arial"/>
      <family val="2"/>
    </font>
    <font>
      <sz val="11"/>
      <color rgb="FF00B050"/>
      <name val="Arial"/>
      <family val="2"/>
    </font>
    <font>
      <sz val="10"/>
      <color rgb="FFC00000"/>
      <name val="Calibri"/>
      <family val="2"/>
      <scheme val="minor"/>
    </font>
    <font>
      <strike/>
      <sz val="10"/>
      <name val="Calibri"/>
      <family val="2"/>
      <scheme val="minor"/>
    </font>
    <font>
      <sz val="10"/>
      <color rgb="FF000000"/>
      <name val="Calibri"/>
      <family val="2"/>
    </font>
    <font>
      <sz val="10"/>
      <color rgb="FF000000"/>
      <name val="Calibri"/>
      <scheme val="minor"/>
    </font>
    <font>
      <sz val="10"/>
      <color rgb="FFFF0000"/>
      <name val="Calibri"/>
      <scheme val="minor"/>
    </font>
    <font>
      <sz val="10"/>
      <name val="Calibri"/>
      <scheme val="minor"/>
    </font>
  </fonts>
  <fills count="9">
    <fill>
      <patternFill patternType="none"/>
    </fill>
    <fill>
      <patternFill patternType="gray125"/>
    </fill>
    <fill>
      <patternFill patternType="solid">
        <fgColor theme="9"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15">
    <xf numFmtId="0" fontId="0"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0" fillId="0" borderId="0"/>
    <xf numFmtId="0" fontId="7" fillId="0" borderId="0"/>
    <xf numFmtId="0" fontId="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3" fillId="0" borderId="0"/>
    <xf numFmtId="0" fontId="10" fillId="0" borderId="0"/>
    <xf numFmtId="0" fontId="13" fillId="0" borderId="0"/>
    <xf numFmtId="0" fontId="16" fillId="0" borderId="0">
      <alignment vertical="top"/>
    </xf>
    <xf numFmtId="0" fontId="10" fillId="0" borderId="0"/>
    <xf numFmtId="0" fontId="5" fillId="0" borderId="0"/>
    <xf numFmtId="0" fontId="10" fillId="0" borderId="0"/>
    <xf numFmtId="0" fontId="5" fillId="0" borderId="0"/>
    <xf numFmtId="0" fontId="5" fillId="0" borderId="0"/>
    <xf numFmtId="0" fontId="5" fillId="0" borderId="0"/>
    <xf numFmtId="0" fontId="10" fillId="0" borderId="0">
      <alignment vertical="top"/>
    </xf>
    <xf numFmtId="0" fontId="16" fillId="0" borderId="0">
      <alignment vertical="top"/>
    </xf>
    <xf numFmtId="0" fontId="4" fillId="0" borderId="0"/>
    <xf numFmtId="0" fontId="4" fillId="0" borderId="0"/>
    <xf numFmtId="0" fontId="4" fillId="0" borderId="0"/>
    <xf numFmtId="0" fontId="4" fillId="0" borderId="0"/>
    <xf numFmtId="0" fontId="10" fillId="0" borderId="0">
      <alignment vertical="top"/>
    </xf>
    <xf numFmtId="0" fontId="10" fillId="0" borderId="0">
      <alignment vertical="top"/>
    </xf>
    <xf numFmtId="0" fontId="10" fillId="0" borderId="0"/>
    <xf numFmtId="0" fontId="4"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lignment vertical="top"/>
    </xf>
    <xf numFmtId="0" fontId="3" fillId="0" borderId="0"/>
    <xf numFmtId="0" fontId="3" fillId="0" borderId="0"/>
    <xf numFmtId="0" fontId="3" fillId="0" borderId="0"/>
    <xf numFmtId="0" fontId="3" fillId="0" borderId="0"/>
    <xf numFmtId="0" fontId="10"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cellStyleXfs>
  <cellXfs count="95">
    <xf numFmtId="0" fontId="0" fillId="0" borderId="0" xfId="0"/>
    <xf numFmtId="0" fontId="8" fillId="2" borderId="1"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10" fillId="2" borderId="5" xfId="0" applyFont="1" applyFill="1" applyBorder="1" applyAlignment="1">
      <alignment vertical="top" wrapText="1"/>
    </xf>
    <xf numFmtId="0" fontId="10" fillId="3" borderId="9" xfId="0" applyFont="1" applyFill="1" applyBorder="1" applyAlignment="1">
      <alignment vertical="top" wrapText="1"/>
    </xf>
    <xf numFmtId="0" fontId="10" fillId="4" borderId="9" xfId="0" applyFont="1" applyFill="1" applyBorder="1" applyAlignment="1">
      <alignment vertical="top" wrapText="1"/>
    </xf>
    <xf numFmtId="0" fontId="10" fillId="5" borderId="9" xfId="0" applyFont="1" applyFill="1" applyBorder="1" applyAlignment="1">
      <alignment vertical="top" wrapText="1"/>
    </xf>
    <xf numFmtId="0" fontId="10" fillId="5" borderId="6" xfId="0" applyFont="1" applyFill="1" applyBorder="1" applyAlignment="1">
      <alignment vertical="top" wrapText="1"/>
    </xf>
    <xf numFmtId="0" fontId="11" fillId="0" borderId="10" xfId="0" applyFont="1" applyBorder="1" applyAlignment="1">
      <alignment horizontal="left" vertical="top" wrapText="1"/>
    </xf>
    <xf numFmtId="0" fontId="11" fillId="0" borderId="0" xfId="0" applyFont="1"/>
    <xf numFmtId="0" fontId="15" fillId="0" borderId="10" xfId="211" applyFont="1" applyBorder="1" applyAlignment="1">
      <alignment horizontal="center" vertical="center" wrapText="1"/>
    </xf>
    <xf numFmtId="0" fontId="6" fillId="0" borderId="0" xfId="211"/>
    <xf numFmtId="14" fontId="12" fillId="0" borderId="10" xfId="211" applyNumberFormat="1" applyFont="1" applyBorder="1" applyAlignment="1">
      <alignment horizontal="center" vertical="top" wrapText="1"/>
    </xf>
    <xf numFmtId="0" fontId="12" fillId="0" borderId="10" xfId="211" applyFont="1" applyBorder="1" applyAlignment="1">
      <alignment horizontal="left" vertical="center" wrapText="1"/>
    </xf>
    <xf numFmtId="0" fontId="12" fillId="0" borderId="10" xfId="211" applyFont="1" applyBorder="1" applyAlignment="1">
      <alignment horizontal="left" vertical="top" wrapText="1"/>
    </xf>
    <xf numFmtId="0" fontId="12" fillId="0" borderId="10" xfId="211" applyFont="1" applyBorder="1" applyAlignment="1">
      <alignment horizontal="center" vertical="top" wrapText="1"/>
    </xf>
    <xf numFmtId="0" fontId="11" fillId="0" borderId="0" xfId="0" applyFont="1" applyAlignment="1">
      <alignment vertical="top"/>
    </xf>
    <xf numFmtId="0" fontId="11" fillId="0" borderId="10" xfId="0" applyFont="1" applyBorder="1" applyAlignment="1">
      <alignment vertical="top" wrapText="1"/>
    </xf>
    <xf numFmtId="0" fontId="11" fillId="0" borderId="10" xfId="0" applyFont="1" applyBorder="1" applyAlignment="1">
      <alignment vertical="top"/>
    </xf>
    <xf numFmtId="14" fontId="12" fillId="0" borderId="10" xfId="211" applyNumberFormat="1" applyFont="1" applyBorder="1" applyAlignment="1">
      <alignment horizontal="left" vertical="top" wrapText="1"/>
    </xf>
    <xf numFmtId="0" fontId="14" fillId="0" borderId="10" xfId="0" applyFont="1" applyBorder="1" applyAlignment="1">
      <alignment vertical="top" wrapText="1"/>
    </xf>
    <xf numFmtId="0" fontId="14" fillId="0" borderId="10" xfId="0" applyFont="1" applyBorder="1" applyAlignment="1">
      <alignment vertical="top"/>
    </xf>
    <xf numFmtId="0" fontId="14" fillId="0" borderId="11" xfId="0" applyFont="1" applyBorder="1" applyAlignment="1">
      <alignment horizontal="left" vertical="top" wrapText="1"/>
    </xf>
    <xf numFmtId="0" fontId="14" fillId="0" borderId="10" xfId="0" applyFont="1" applyBorder="1" applyAlignment="1">
      <alignment horizontal="center" vertical="top"/>
    </xf>
    <xf numFmtId="0" fontId="0" fillId="0" borderId="10" xfId="0" applyBorder="1" applyAlignment="1">
      <alignment vertical="top"/>
    </xf>
    <xf numFmtId="0" fontId="0" fillId="0" borderId="0" xfId="0" applyAlignment="1">
      <alignment vertical="top"/>
    </xf>
    <xf numFmtId="0" fontId="0" fillId="0" borderId="10" xfId="0" applyBorder="1" applyAlignment="1">
      <alignment vertical="top" wrapText="1"/>
    </xf>
    <xf numFmtId="0" fontId="0" fillId="0" borderId="0" xfId="0" applyAlignment="1">
      <alignment vertical="top" wrapText="1"/>
    </xf>
    <xf numFmtId="0" fontId="0" fillId="0" borderId="0" xfId="0" applyAlignment="1">
      <alignment wrapText="1"/>
    </xf>
    <xf numFmtId="0" fontId="11" fillId="6" borderId="10" xfId="0" applyFont="1" applyFill="1" applyBorder="1" applyAlignment="1">
      <alignment horizontal="left" vertical="top" wrapText="1"/>
    </xf>
    <xf numFmtId="14" fontId="14" fillId="0" borderId="11" xfId="0" applyNumberFormat="1" applyFont="1" applyBorder="1" applyAlignment="1">
      <alignment horizontal="left" vertical="top" wrapText="1"/>
    </xf>
    <xf numFmtId="0" fontId="14" fillId="0" borderId="12" xfId="0" applyFont="1" applyBorder="1" applyAlignment="1">
      <alignment vertical="top" wrapText="1"/>
    </xf>
    <xf numFmtId="0" fontId="14" fillId="0" borderId="12" xfId="0" applyFont="1" applyBorder="1" applyAlignment="1">
      <alignment horizontal="left" vertical="top" wrapText="1"/>
    </xf>
    <xf numFmtId="0" fontId="18" fillId="0" borderId="10" xfId="0" applyFont="1" applyBorder="1" applyAlignment="1">
      <alignment vertical="top"/>
    </xf>
    <xf numFmtId="0" fontId="18" fillId="0" borderId="10" xfId="0" applyFont="1" applyBorder="1" applyAlignment="1">
      <alignment vertical="top" wrapText="1"/>
    </xf>
    <xf numFmtId="0" fontId="14" fillId="0" borderId="10" xfId="0" quotePrefix="1" applyFont="1" applyBorder="1" applyAlignment="1">
      <alignment horizontal="center" vertical="top"/>
    </xf>
    <xf numFmtId="0" fontId="17" fillId="0" borderId="11" xfId="0" applyFont="1" applyBorder="1" applyAlignment="1">
      <alignment horizontal="left" vertical="top" wrapText="1"/>
    </xf>
    <xf numFmtId="0" fontId="14" fillId="0" borderId="10" xfId="0" applyFont="1" applyBorder="1" applyAlignment="1">
      <alignment horizontal="left" vertical="top" wrapText="1"/>
    </xf>
    <xf numFmtId="0" fontId="17" fillId="0" borderId="10" xfId="0" applyFont="1" applyBorder="1" applyAlignment="1">
      <alignment vertical="top" wrapText="1"/>
    </xf>
    <xf numFmtId="0" fontId="14" fillId="0" borderId="10" xfId="0" applyFont="1" applyBorder="1" applyAlignment="1">
      <alignment horizontal="center" vertical="top" wrapText="1"/>
    </xf>
    <xf numFmtId="0" fontId="19" fillId="0" borderId="10" xfId="0" applyFont="1" applyBorder="1" applyAlignment="1">
      <alignment vertical="top" wrapText="1"/>
    </xf>
    <xf numFmtId="0" fontId="10" fillId="7" borderId="9" xfId="0" applyFont="1" applyFill="1" applyBorder="1" applyAlignment="1">
      <alignment vertical="top" wrapText="1"/>
    </xf>
    <xf numFmtId="0" fontId="17" fillId="0" borderId="11" xfId="0" applyFont="1" applyBorder="1" applyAlignment="1">
      <alignment vertical="top" wrapText="1"/>
    </xf>
    <xf numFmtId="0" fontId="11" fillId="0" borderId="10" xfId="132" applyFont="1" applyBorder="1" applyAlignment="1">
      <alignment horizontal="left" vertical="top" wrapText="1"/>
    </xf>
    <xf numFmtId="0" fontId="14" fillId="0" borderId="10" xfId="0" quotePrefix="1" applyFont="1" applyBorder="1" applyAlignment="1">
      <alignment vertical="top"/>
    </xf>
    <xf numFmtId="0" fontId="20" fillId="0" borderId="11" xfId="0" applyFont="1" applyBorder="1" applyAlignment="1">
      <alignment horizontal="left" vertical="top" wrapText="1"/>
    </xf>
    <xf numFmtId="0" fontId="22" fillId="0" borderId="10" xfId="0" applyFont="1" applyBorder="1" applyAlignment="1">
      <alignment horizontal="left" vertical="top" wrapText="1"/>
    </xf>
    <xf numFmtId="0" fontId="21" fillId="0" borderId="10" xfId="0" applyFont="1" applyBorder="1" applyAlignment="1">
      <alignment vertical="top" wrapText="1"/>
    </xf>
    <xf numFmtId="0" fontId="22" fillId="8" borderId="10" xfId="0" applyFont="1" applyFill="1" applyBorder="1" applyAlignment="1">
      <alignment horizontal="left" vertical="top" wrapText="1"/>
    </xf>
    <xf numFmtId="0" fontId="10" fillId="0" borderId="10" xfId="0" applyFont="1" applyBorder="1" applyAlignment="1">
      <alignment vertical="top"/>
    </xf>
    <xf numFmtId="0" fontId="11" fillId="0" borderId="10" xfId="314" applyFont="1" applyBorder="1" applyAlignment="1">
      <alignment horizontal="left" vertical="top" wrapText="1"/>
    </xf>
    <xf numFmtId="0" fontId="23" fillId="0" borderId="10" xfId="0" applyFont="1" applyBorder="1" applyAlignment="1">
      <alignment vertical="top" wrapText="1"/>
    </xf>
    <xf numFmtId="0" fontId="25" fillId="0" borderId="10" xfId="0" applyFont="1" applyBorder="1" applyAlignment="1">
      <alignment vertical="top" wrapText="1"/>
    </xf>
    <xf numFmtId="0" fontId="26" fillId="0" borderId="0" xfId="0" applyFont="1" applyAlignment="1">
      <alignment vertical="top" wrapText="1"/>
    </xf>
    <xf numFmtId="0" fontId="26" fillId="0" borderId="0" xfId="0" applyFont="1" applyAlignment="1">
      <alignment wrapText="1"/>
    </xf>
    <xf numFmtId="0" fontId="0" fillId="0" borderId="11" xfId="0" applyBorder="1" applyAlignment="1">
      <alignment vertical="top"/>
    </xf>
    <xf numFmtId="0" fontId="0" fillId="0" borderId="11" xfId="0" applyBorder="1" applyAlignment="1">
      <alignment vertical="top" wrapText="1"/>
    </xf>
    <xf numFmtId="0" fontId="11" fillId="0" borderId="11" xfId="0" applyFont="1" applyBorder="1" applyAlignment="1">
      <alignment vertical="top"/>
    </xf>
    <xf numFmtId="0" fontId="26" fillId="0" borderId="10" xfId="0" applyFont="1" applyBorder="1" applyAlignment="1">
      <alignment vertical="top" wrapText="1"/>
    </xf>
    <xf numFmtId="0" fontId="26" fillId="0" borderId="10" xfId="0" applyFont="1" applyBorder="1" applyAlignment="1">
      <alignment vertical="top"/>
    </xf>
    <xf numFmtId="0" fontId="0" fillId="0" borderId="10" xfId="0" applyBorder="1"/>
    <xf numFmtId="0" fontId="27" fillId="0" borderId="10" xfId="0" applyFont="1" applyBorder="1" applyAlignment="1">
      <alignment vertical="top" wrapText="1"/>
    </xf>
    <xf numFmtId="0" fontId="23" fillId="0" borderId="10" xfId="0" applyFont="1" applyBorder="1" applyAlignment="1">
      <alignment vertical="top"/>
    </xf>
    <xf numFmtId="0" fontId="26" fillId="0" borderId="11" xfId="0" applyFont="1" applyBorder="1" applyAlignment="1">
      <alignment vertical="top" wrapText="1"/>
    </xf>
    <xf numFmtId="0" fontId="26" fillId="0" borderId="10" xfId="0" applyFont="1" applyBorder="1" applyAlignment="1">
      <alignment horizontal="left" vertical="top"/>
    </xf>
    <xf numFmtId="0" fontId="25" fillId="0" borderId="10" xfId="0" applyFont="1" applyBorder="1" applyAlignment="1">
      <alignment horizontal="center" vertical="top"/>
    </xf>
    <xf numFmtId="0" fontId="23" fillId="0" borderId="10" xfId="0" quotePrefix="1" applyFont="1" applyBorder="1" applyAlignment="1">
      <alignment horizontal="center" vertical="top"/>
    </xf>
    <xf numFmtId="0" fontId="23" fillId="0" borderId="10" xfId="0" applyFont="1" applyBorder="1" applyAlignment="1">
      <alignment horizontal="center" vertical="top" wrapText="1"/>
    </xf>
    <xf numFmtId="14" fontId="6" fillId="0" borderId="10" xfId="211" applyNumberFormat="1" applyBorder="1"/>
    <xf numFmtId="0" fontId="26" fillId="5" borderId="9" xfId="0" applyFont="1" applyFill="1" applyBorder="1" applyAlignment="1">
      <alignment vertical="top" wrapText="1"/>
    </xf>
    <xf numFmtId="0" fontId="22" fillId="0" borderId="11" xfId="0" applyFont="1" applyBorder="1" applyAlignment="1">
      <alignment horizontal="left" vertical="top" wrapText="1"/>
    </xf>
    <xf numFmtId="0" fontId="18" fillId="0" borderId="10" xfId="0" quotePrefix="1" applyFont="1" applyBorder="1" applyAlignment="1">
      <alignment horizontal="right" vertical="top" wrapText="1"/>
    </xf>
    <xf numFmtId="0" fontId="11" fillId="0" borderId="10" xfId="0" applyFont="1" applyBorder="1" applyAlignment="1">
      <alignment horizontal="center" vertical="top"/>
    </xf>
    <xf numFmtId="0" fontId="11" fillId="0" borderId="11" xfId="0" applyFont="1" applyBorder="1" applyAlignment="1">
      <alignment horizontal="left" vertical="top" wrapText="1"/>
    </xf>
    <xf numFmtId="0" fontId="22" fillId="6" borderId="10" xfId="0" applyFont="1" applyFill="1" applyBorder="1" applyAlignment="1">
      <alignment horizontal="left" vertical="top" wrapText="1"/>
    </xf>
    <xf numFmtId="49" fontId="11" fillId="0" borderId="10" xfId="0" applyNumberFormat="1" applyFont="1" applyBorder="1" applyAlignment="1">
      <alignment horizontal="left" vertical="top" wrapText="1"/>
    </xf>
    <xf numFmtId="0" fontId="11" fillId="0" borderId="10" xfId="115" applyFont="1" applyBorder="1" applyAlignment="1">
      <alignment horizontal="left" vertical="top" wrapText="1"/>
    </xf>
    <xf numFmtId="0" fontId="1" fillId="0" borderId="10" xfId="211" applyFont="1" applyBorder="1" applyAlignment="1">
      <alignment wrapText="1"/>
    </xf>
    <xf numFmtId="0" fontId="30" fillId="0" borderId="0" xfId="0" applyFont="1" applyAlignment="1">
      <alignment vertical="center" wrapText="1"/>
    </xf>
    <xf numFmtId="0" fontId="1" fillId="0" borderId="10" xfId="211" applyFont="1" applyBorder="1"/>
    <xf numFmtId="0" fontId="1" fillId="0" borderId="10" xfId="211" applyFont="1" applyBorder="1" applyAlignment="1">
      <alignment horizontal="center"/>
    </xf>
    <xf numFmtId="0" fontId="31" fillId="0" borderId="11" xfId="0" applyFont="1" applyBorder="1" applyAlignment="1">
      <alignment horizontal="left" vertical="top" wrapText="1"/>
    </xf>
    <xf numFmtId="0" fontId="33" fillId="0" borderId="11" xfId="0" applyFont="1" applyBorder="1" applyAlignment="1">
      <alignment horizontal="left" vertical="top"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24" fillId="5" borderId="3" xfId="0" applyFont="1" applyFill="1" applyBorder="1" applyAlignment="1">
      <alignment horizontal="center" vertical="center" wrapText="1"/>
    </xf>
    <xf numFmtId="0" fontId="9" fillId="5" borderId="4" xfId="0" applyFont="1" applyFill="1" applyBorder="1" applyAlignment="1">
      <alignment horizontal="center" vertical="center" wrapText="1"/>
    </xf>
  </cellXfs>
  <cellStyles count="315">
    <cellStyle name="Comma 11" xfId="2" xr:uid="{00000000-0005-0000-0000-000000000000}"/>
    <cellStyle name="Comma 12" xfId="3" xr:uid="{00000000-0005-0000-0000-000001000000}"/>
    <cellStyle name="Comma 15" xfId="4" xr:uid="{00000000-0005-0000-0000-000002000000}"/>
    <cellStyle name="Comma 17" xfId="5" xr:uid="{00000000-0005-0000-0000-000003000000}"/>
    <cellStyle name="Comma 19" xfId="6" xr:uid="{00000000-0005-0000-0000-000004000000}"/>
    <cellStyle name="Comma 21" xfId="7" xr:uid="{00000000-0005-0000-0000-000005000000}"/>
    <cellStyle name="Comma 23" xfId="8" xr:uid="{00000000-0005-0000-0000-000006000000}"/>
    <cellStyle name="Comma 26" xfId="9" xr:uid="{00000000-0005-0000-0000-000007000000}"/>
    <cellStyle name="Comma 27" xfId="10" xr:uid="{00000000-0005-0000-0000-000008000000}"/>
    <cellStyle name="Comma 31" xfId="11" xr:uid="{00000000-0005-0000-0000-000009000000}"/>
    <cellStyle name="Comma 35" xfId="12" xr:uid="{00000000-0005-0000-0000-00000A000000}"/>
    <cellStyle name="Comma 4" xfId="13" xr:uid="{00000000-0005-0000-0000-00000B000000}"/>
    <cellStyle name="Comma 41" xfId="14" xr:uid="{00000000-0005-0000-0000-00000C000000}"/>
    <cellStyle name="Comma 5" xfId="15" xr:uid="{00000000-0005-0000-0000-00000D000000}"/>
    <cellStyle name="Comma 50" xfId="16" xr:uid="{00000000-0005-0000-0000-00000E000000}"/>
    <cellStyle name="Comma 57" xfId="17" xr:uid="{00000000-0005-0000-0000-00000F000000}"/>
    <cellStyle name="Comma 6" xfId="18" xr:uid="{00000000-0005-0000-0000-000010000000}"/>
    <cellStyle name="Comma 66" xfId="19" xr:uid="{00000000-0005-0000-0000-000011000000}"/>
    <cellStyle name="Comma 7" xfId="20" xr:uid="{00000000-0005-0000-0000-000012000000}"/>
    <cellStyle name="Comma 73" xfId="21" xr:uid="{00000000-0005-0000-0000-000013000000}"/>
    <cellStyle name="Comma 79" xfId="22" xr:uid="{00000000-0005-0000-0000-000014000000}"/>
    <cellStyle name="Comma 8" xfId="23" xr:uid="{00000000-0005-0000-0000-000015000000}"/>
    <cellStyle name="Heading 1 31" xfId="241" xr:uid="{00000000-0005-0000-0000-000016000000}"/>
    <cellStyle name="Heading 1 31 2" xfId="243" xr:uid="{00000000-0005-0000-0000-000017000000}"/>
    <cellStyle name="Normal" xfId="0" builtinId="0"/>
    <cellStyle name="Normal 10" xfId="24" xr:uid="{00000000-0005-0000-0000-000019000000}"/>
    <cellStyle name="Normal 10 2" xfId="255" xr:uid="{00000000-0005-0000-0000-00001A000000}"/>
    <cellStyle name="Normal 100" xfId="25" xr:uid="{00000000-0005-0000-0000-00001B000000}"/>
    <cellStyle name="Normal 101" xfId="26" xr:uid="{00000000-0005-0000-0000-00001C000000}"/>
    <cellStyle name="Normal 101 2" xfId="27" xr:uid="{00000000-0005-0000-0000-00001D000000}"/>
    <cellStyle name="Normal 102" xfId="28" xr:uid="{00000000-0005-0000-0000-00001E000000}"/>
    <cellStyle name="Normal 103" xfId="29" xr:uid="{00000000-0005-0000-0000-00001F000000}"/>
    <cellStyle name="Normal 104" xfId="30" xr:uid="{00000000-0005-0000-0000-000020000000}"/>
    <cellStyle name="Normal 105" xfId="31" xr:uid="{00000000-0005-0000-0000-000021000000}"/>
    <cellStyle name="Normal 106" xfId="32" xr:uid="{00000000-0005-0000-0000-000022000000}"/>
    <cellStyle name="Normal 107" xfId="33" xr:uid="{00000000-0005-0000-0000-000023000000}"/>
    <cellStyle name="Normal 108" xfId="34" xr:uid="{00000000-0005-0000-0000-000024000000}"/>
    <cellStyle name="Normal 109" xfId="35" xr:uid="{00000000-0005-0000-0000-000025000000}"/>
    <cellStyle name="Normal 11" xfId="36" xr:uid="{00000000-0005-0000-0000-000026000000}"/>
    <cellStyle name="Normal 11 2" xfId="256" xr:uid="{00000000-0005-0000-0000-000027000000}"/>
    <cellStyle name="Normal 11 2 2" xfId="309" xr:uid="{00000000-0005-0000-0000-000028000000}"/>
    <cellStyle name="Normal 110" xfId="37" xr:uid="{00000000-0005-0000-0000-000029000000}"/>
    <cellStyle name="Normal 111" xfId="38" xr:uid="{00000000-0005-0000-0000-00002A000000}"/>
    <cellStyle name="Normal 112" xfId="39" xr:uid="{00000000-0005-0000-0000-00002B000000}"/>
    <cellStyle name="Normal 113" xfId="40" xr:uid="{00000000-0005-0000-0000-00002C000000}"/>
    <cellStyle name="Normal 114" xfId="41" xr:uid="{00000000-0005-0000-0000-00002D000000}"/>
    <cellStyle name="Normal 115" xfId="42" xr:uid="{00000000-0005-0000-0000-00002E000000}"/>
    <cellStyle name="Normal 116" xfId="43" xr:uid="{00000000-0005-0000-0000-00002F000000}"/>
    <cellStyle name="Normal 117" xfId="44" xr:uid="{00000000-0005-0000-0000-000030000000}"/>
    <cellStyle name="Normal 118" xfId="45" xr:uid="{00000000-0005-0000-0000-000031000000}"/>
    <cellStyle name="Normal 119" xfId="46" xr:uid="{00000000-0005-0000-0000-000032000000}"/>
    <cellStyle name="Normal 12" xfId="47" xr:uid="{00000000-0005-0000-0000-000033000000}"/>
    <cellStyle name="Normal 12 2" xfId="48" xr:uid="{00000000-0005-0000-0000-000034000000}"/>
    <cellStyle name="Normal 120" xfId="49" xr:uid="{00000000-0005-0000-0000-000035000000}"/>
    <cellStyle name="Normal 121" xfId="50" xr:uid="{00000000-0005-0000-0000-000036000000}"/>
    <cellStyle name="Normal 122" xfId="51" xr:uid="{00000000-0005-0000-0000-000037000000}"/>
    <cellStyle name="Normal 123" xfId="52" xr:uid="{00000000-0005-0000-0000-000038000000}"/>
    <cellStyle name="Normal 124" xfId="53" xr:uid="{00000000-0005-0000-0000-000039000000}"/>
    <cellStyle name="Normal 125" xfId="54" xr:uid="{00000000-0005-0000-0000-00003A000000}"/>
    <cellStyle name="Normal 126" xfId="55" xr:uid="{00000000-0005-0000-0000-00003B000000}"/>
    <cellStyle name="Normal 127" xfId="56" xr:uid="{00000000-0005-0000-0000-00003C000000}"/>
    <cellStyle name="Normal 128" xfId="57" xr:uid="{00000000-0005-0000-0000-00003D000000}"/>
    <cellStyle name="Normal 129" xfId="58" xr:uid="{00000000-0005-0000-0000-00003E000000}"/>
    <cellStyle name="Normal 13" xfId="59" xr:uid="{00000000-0005-0000-0000-00003F000000}"/>
    <cellStyle name="Normal 13 2" xfId="257" xr:uid="{00000000-0005-0000-0000-000040000000}"/>
    <cellStyle name="Normal 130" xfId="60" xr:uid="{00000000-0005-0000-0000-000041000000}"/>
    <cellStyle name="Normal 131" xfId="61" xr:uid="{00000000-0005-0000-0000-000042000000}"/>
    <cellStyle name="Normal 132" xfId="62" xr:uid="{00000000-0005-0000-0000-000043000000}"/>
    <cellStyle name="Normal 133" xfId="63" xr:uid="{00000000-0005-0000-0000-000044000000}"/>
    <cellStyle name="Normal 134" xfId="64" xr:uid="{00000000-0005-0000-0000-000045000000}"/>
    <cellStyle name="Normal 135" xfId="65" xr:uid="{00000000-0005-0000-0000-000046000000}"/>
    <cellStyle name="Normal 136" xfId="66" xr:uid="{00000000-0005-0000-0000-000047000000}"/>
    <cellStyle name="Normal 137" xfId="67" xr:uid="{00000000-0005-0000-0000-000048000000}"/>
    <cellStyle name="Normal 138" xfId="68" xr:uid="{00000000-0005-0000-0000-000049000000}"/>
    <cellStyle name="Normal 139" xfId="69" xr:uid="{00000000-0005-0000-0000-00004A000000}"/>
    <cellStyle name="Normal 14" xfId="70" xr:uid="{00000000-0005-0000-0000-00004B000000}"/>
    <cellStyle name="Normal 14 2" xfId="258" xr:uid="{00000000-0005-0000-0000-00004C000000}"/>
    <cellStyle name="Normal 140" xfId="71" xr:uid="{00000000-0005-0000-0000-00004D000000}"/>
    <cellStyle name="Normal 141" xfId="72" xr:uid="{00000000-0005-0000-0000-00004E000000}"/>
    <cellStyle name="Normal 142" xfId="73" xr:uid="{00000000-0005-0000-0000-00004F000000}"/>
    <cellStyle name="Normal 143" xfId="74" xr:uid="{00000000-0005-0000-0000-000050000000}"/>
    <cellStyle name="Normal 144" xfId="75" xr:uid="{00000000-0005-0000-0000-000051000000}"/>
    <cellStyle name="Normal 145" xfId="76" xr:uid="{00000000-0005-0000-0000-000052000000}"/>
    <cellStyle name="Normal 146" xfId="77" xr:uid="{00000000-0005-0000-0000-000053000000}"/>
    <cellStyle name="Normal 146 2" xfId="270" xr:uid="{00000000-0005-0000-0000-000054000000}"/>
    <cellStyle name="Normal 147" xfId="78" xr:uid="{00000000-0005-0000-0000-000055000000}"/>
    <cellStyle name="Normal 148" xfId="79" xr:uid="{00000000-0005-0000-0000-000056000000}"/>
    <cellStyle name="Normal 149" xfId="80" xr:uid="{00000000-0005-0000-0000-000057000000}"/>
    <cellStyle name="Normal 15" xfId="81" xr:uid="{00000000-0005-0000-0000-000058000000}"/>
    <cellStyle name="Normal 15 2" xfId="259" xr:uid="{00000000-0005-0000-0000-000059000000}"/>
    <cellStyle name="Normal 150" xfId="82" xr:uid="{00000000-0005-0000-0000-00005A000000}"/>
    <cellStyle name="Normal 151" xfId="83" xr:uid="{00000000-0005-0000-0000-00005B000000}"/>
    <cellStyle name="Normal 152" xfId="84" xr:uid="{00000000-0005-0000-0000-00005C000000}"/>
    <cellStyle name="Normal 153" xfId="85" xr:uid="{00000000-0005-0000-0000-00005D000000}"/>
    <cellStyle name="Normal 154" xfId="86" xr:uid="{00000000-0005-0000-0000-00005E000000}"/>
    <cellStyle name="Normal 155" xfId="87" xr:uid="{00000000-0005-0000-0000-00005F000000}"/>
    <cellStyle name="Normal 156" xfId="88" xr:uid="{00000000-0005-0000-0000-000060000000}"/>
    <cellStyle name="Normal 157" xfId="89" xr:uid="{00000000-0005-0000-0000-000061000000}"/>
    <cellStyle name="Normal 158" xfId="90" xr:uid="{00000000-0005-0000-0000-000062000000}"/>
    <cellStyle name="Normal 159" xfId="91" xr:uid="{00000000-0005-0000-0000-000063000000}"/>
    <cellStyle name="Normal 16" xfId="92" xr:uid="{00000000-0005-0000-0000-000064000000}"/>
    <cellStyle name="Normal 16 2" xfId="93" xr:uid="{00000000-0005-0000-0000-000065000000}"/>
    <cellStyle name="Normal 160" xfId="94" xr:uid="{00000000-0005-0000-0000-000066000000}"/>
    <cellStyle name="Normal 161" xfId="95" xr:uid="{00000000-0005-0000-0000-000067000000}"/>
    <cellStyle name="Normal 162" xfId="96" xr:uid="{00000000-0005-0000-0000-000068000000}"/>
    <cellStyle name="Normal 163" xfId="97" xr:uid="{00000000-0005-0000-0000-000069000000}"/>
    <cellStyle name="Normal 164" xfId="98" xr:uid="{00000000-0005-0000-0000-00006A000000}"/>
    <cellStyle name="Normal 165" xfId="99" xr:uid="{00000000-0005-0000-0000-00006B000000}"/>
    <cellStyle name="Normal 166" xfId="100" xr:uid="{00000000-0005-0000-0000-00006C000000}"/>
    <cellStyle name="Normal 167" xfId="101" xr:uid="{00000000-0005-0000-0000-00006D000000}"/>
    <cellStyle name="Normal 168" xfId="102" xr:uid="{00000000-0005-0000-0000-00006E000000}"/>
    <cellStyle name="Normal 169" xfId="103" xr:uid="{00000000-0005-0000-0000-00006F000000}"/>
    <cellStyle name="Normal 17" xfId="104" xr:uid="{00000000-0005-0000-0000-000070000000}"/>
    <cellStyle name="Normal 17 2" xfId="254" xr:uid="{00000000-0005-0000-0000-000071000000}"/>
    <cellStyle name="Normal 170" xfId="105" xr:uid="{00000000-0005-0000-0000-000072000000}"/>
    <cellStyle name="Normal 171" xfId="106" xr:uid="{00000000-0005-0000-0000-000073000000}"/>
    <cellStyle name="Normal 172" xfId="107" xr:uid="{00000000-0005-0000-0000-000074000000}"/>
    <cellStyle name="Normal 173" xfId="108" xr:uid="{00000000-0005-0000-0000-000075000000}"/>
    <cellStyle name="Normal 174" xfId="109" xr:uid="{00000000-0005-0000-0000-000076000000}"/>
    <cellStyle name="Normal 175" xfId="110" xr:uid="{00000000-0005-0000-0000-000077000000}"/>
    <cellStyle name="Normal 176" xfId="111" xr:uid="{00000000-0005-0000-0000-000078000000}"/>
    <cellStyle name="Normal 177" xfId="112" xr:uid="{00000000-0005-0000-0000-000079000000}"/>
    <cellStyle name="Normal 178" xfId="211" xr:uid="{00000000-0005-0000-0000-00007A000000}"/>
    <cellStyle name="Normal 178 2" xfId="273" xr:uid="{00000000-0005-0000-0000-00007B000000}"/>
    <cellStyle name="Normal 179" xfId="240" xr:uid="{00000000-0005-0000-0000-00007C000000}"/>
    <cellStyle name="Normal 179 2" xfId="299" xr:uid="{00000000-0005-0000-0000-00007D000000}"/>
    <cellStyle name="Normal 18" xfId="113" xr:uid="{00000000-0005-0000-0000-00007E000000}"/>
    <cellStyle name="Normal 180" xfId="248" xr:uid="{00000000-0005-0000-0000-00007F000000}"/>
    <cellStyle name="Normal 180 2" xfId="304" xr:uid="{00000000-0005-0000-0000-000080000000}"/>
    <cellStyle name="Normal 181" xfId="314" xr:uid="{00000000-0005-0000-0000-000081000000}"/>
    <cellStyle name="Normal 19" xfId="114" xr:uid="{00000000-0005-0000-0000-000082000000}"/>
    <cellStyle name="Normal 2" xfId="115" xr:uid="{00000000-0005-0000-0000-000083000000}"/>
    <cellStyle name="Normal 2 2" xfId="116" xr:uid="{00000000-0005-0000-0000-000084000000}"/>
    <cellStyle name="Normal 2 2 2" xfId="117" xr:uid="{00000000-0005-0000-0000-000085000000}"/>
    <cellStyle name="Normal 2 3" xfId="118" xr:uid="{00000000-0005-0000-0000-000086000000}"/>
    <cellStyle name="Normal 2 3 2" xfId="212" xr:uid="{00000000-0005-0000-0000-000087000000}"/>
    <cellStyle name="Normal 2 3 2 2" xfId="213" xr:uid="{00000000-0005-0000-0000-000088000000}"/>
    <cellStyle name="Normal 2 3 2 2 2" xfId="214" xr:uid="{00000000-0005-0000-0000-000089000000}"/>
    <cellStyle name="Normal 2 3 2 2 2 2" xfId="276" xr:uid="{00000000-0005-0000-0000-00008A000000}"/>
    <cellStyle name="Normal 2 3 2 2 3" xfId="275" xr:uid="{00000000-0005-0000-0000-00008B000000}"/>
    <cellStyle name="Normal 2 3 2 3" xfId="215" xr:uid="{00000000-0005-0000-0000-00008C000000}"/>
    <cellStyle name="Normal 2 3 2 3 2" xfId="216" xr:uid="{00000000-0005-0000-0000-00008D000000}"/>
    <cellStyle name="Normal 2 3 2 3 2 2" xfId="278" xr:uid="{00000000-0005-0000-0000-00008E000000}"/>
    <cellStyle name="Normal 2 3 2 3 3" xfId="277" xr:uid="{00000000-0005-0000-0000-00008F000000}"/>
    <cellStyle name="Normal 2 3 2 4" xfId="217" xr:uid="{00000000-0005-0000-0000-000090000000}"/>
    <cellStyle name="Normal 2 3 2 4 2" xfId="279" xr:uid="{00000000-0005-0000-0000-000091000000}"/>
    <cellStyle name="Normal 2 3 2 5" xfId="274" xr:uid="{00000000-0005-0000-0000-000092000000}"/>
    <cellStyle name="Normal 2 3 3" xfId="218" xr:uid="{00000000-0005-0000-0000-000093000000}"/>
    <cellStyle name="Normal 2 3 3 2" xfId="219" xr:uid="{00000000-0005-0000-0000-000094000000}"/>
    <cellStyle name="Normal 2 3 3 2 2" xfId="281" xr:uid="{00000000-0005-0000-0000-000095000000}"/>
    <cellStyle name="Normal 2 3 3 3" xfId="280" xr:uid="{00000000-0005-0000-0000-000096000000}"/>
    <cellStyle name="Normal 2 3 4" xfId="220" xr:uid="{00000000-0005-0000-0000-000097000000}"/>
    <cellStyle name="Normal 2 3 4 2" xfId="221" xr:uid="{00000000-0005-0000-0000-000098000000}"/>
    <cellStyle name="Normal 2 3 4 2 2" xfId="283" xr:uid="{00000000-0005-0000-0000-000099000000}"/>
    <cellStyle name="Normal 2 3 4 3" xfId="282" xr:uid="{00000000-0005-0000-0000-00009A000000}"/>
    <cellStyle name="Normal 2 3 5" xfId="222" xr:uid="{00000000-0005-0000-0000-00009B000000}"/>
    <cellStyle name="Normal 2 3 5 2" xfId="223" xr:uid="{00000000-0005-0000-0000-00009C000000}"/>
    <cellStyle name="Normal 2 3 5 2 2" xfId="285" xr:uid="{00000000-0005-0000-0000-00009D000000}"/>
    <cellStyle name="Normal 2 3 5 3" xfId="284" xr:uid="{00000000-0005-0000-0000-00009E000000}"/>
    <cellStyle name="Normal 2 3 6" xfId="224" xr:uid="{00000000-0005-0000-0000-00009F000000}"/>
    <cellStyle name="Normal 2 3 6 2" xfId="286" xr:uid="{00000000-0005-0000-0000-0000A0000000}"/>
    <cellStyle name="Normal 2 3 7" xfId="271" xr:uid="{00000000-0005-0000-0000-0000A1000000}"/>
    <cellStyle name="Normal 2 4" xfId="119" xr:uid="{00000000-0005-0000-0000-0000A2000000}"/>
    <cellStyle name="Normal 2 4 2" xfId="225" xr:uid="{00000000-0005-0000-0000-0000A3000000}"/>
    <cellStyle name="Normal 2 4 2 2" xfId="226" xr:uid="{00000000-0005-0000-0000-0000A4000000}"/>
    <cellStyle name="Normal 2 4 2 2 2" xfId="288" xr:uid="{00000000-0005-0000-0000-0000A5000000}"/>
    <cellStyle name="Normal 2 4 2 3" xfId="287" xr:uid="{00000000-0005-0000-0000-0000A6000000}"/>
    <cellStyle name="Normal 2 4 3" xfId="227" xr:uid="{00000000-0005-0000-0000-0000A7000000}"/>
    <cellStyle name="Normal 2 4 3 2" xfId="228" xr:uid="{00000000-0005-0000-0000-0000A8000000}"/>
    <cellStyle name="Normal 2 4 3 2 2" xfId="290" xr:uid="{00000000-0005-0000-0000-0000A9000000}"/>
    <cellStyle name="Normal 2 4 3 3" xfId="289" xr:uid="{00000000-0005-0000-0000-0000AA000000}"/>
    <cellStyle name="Normal 2 4 4" xfId="229" xr:uid="{00000000-0005-0000-0000-0000AB000000}"/>
    <cellStyle name="Normal 2 4 4 2" xfId="230" xr:uid="{00000000-0005-0000-0000-0000AC000000}"/>
    <cellStyle name="Normal 2 4 4 2 2" xfId="292" xr:uid="{00000000-0005-0000-0000-0000AD000000}"/>
    <cellStyle name="Normal 2 4 4 3" xfId="291" xr:uid="{00000000-0005-0000-0000-0000AE000000}"/>
    <cellStyle name="Normal 2 4 5" xfId="231" xr:uid="{00000000-0005-0000-0000-0000AF000000}"/>
    <cellStyle name="Normal 2 4 5 2" xfId="293" xr:uid="{00000000-0005-0000-0000-0000B0000000}"/>
    <cellStyle name="Normal 2 4 6" xfId="272" xr:uid="{00000000-0005-0000-0000-0000B1000000}"/>
    <cellStyle name="Normal 2 5" xfId="120" xr:uid="{00000000-0005-0000-0000-0000B2000000}"/>
    <cellStyle name="Normal 2 5 2" xfId="232" xr:uid="{00000000-0005-0000-0000-0000B3000000}"/>
    <cellStyle name="Normal 2 5 2 2" xfId="294" xr:uid="{00000000-0005-0000-0000-0000B4000000}"/>
    <cellStyle name="Normal 2 6" xfId="233" xr:uid="{00000000-0005-0000-0000-0000B5000000}"/>
    <cellStyle name="Normal 2 6 2" xfId="234" xr:uid="{00000000-0005-0000-0000-0000B6000000}"/>
    <cellStyle name="Normal 2 6 2 2" xfId="296" xr:uid="{00000000-0005-0000-0000-0000B7000000}"/>
    <cellStyle name="Normal 2 6 3" xfId="295" xr:uid="{00000000-0005-0000-0000-0000B8000000}"/>
    <cellStyle name="Normal 2 7" xfId="235" xr:uid="{00000000-0005-0000-0000-0000B9000000}"/>
    <cellStyle name="Normal 2 7 2" xfId="297" xr:uid="{00000000-0005-0000-0000-0000BA000000}"/>
    <cellStyle name="Normal 2 8" xfId="236" xr:uid="{00000000-0005-0000-0000-0000BB000000}"/>
    <cellStyle name="Normal 2 8 2" xfId="298" xr:uid="{00000000-0005-0000-0000-0000BC000000}"/>
    <cellStyle name="Normal 20" xfId="121" xr:uid="{00000000-0005-0000-0000-0000BD000000}"/>
    <cellStyle name="Normal 21" xfId="122" xr:uid="{00000000-0005-0000-0000-0000BE000000}"/>
    <cellStyle name="Normal 22" xfId="123" xr:uid="{00000000-0005-0000-0000-0000BF000000}"/>
    <cellStyle name="Normal 22 2" xfId="124" xr:uid="{00000000-0005-0000-0000-0000C0000000}"/>
    <cellStyle name="Normal 23" xfId="125" xr:uid="{00000000-0005-0000-0000-0000C1000000}"/>
    <cellStyle name="Normal 24" xfId="126" xr:uid="{00000000-0005-0000-0000-0000C2000000}"/>
    <cellStyle name="Normal 25" xfId="127" xr:uid="{00000000-0005-0000-0000-0000C3000000}"/>
    <cellStyle name="Normal 26" xfId="128" xr:uid="{00000000-0005-0000-0000-0000C4000000}"/>
    <cellStyle name="Normal 27" xfId="129" xr:uid="{00000000-0005-0000-0000-0000C5000000}"/>
    <cellStyle name="Normal 28" xfId="130" xr:uid="{00000000-0005-0000-0000-0000C6000000}"/>
    <cellStyle name="Normal 29" xfId="131" xr:uid="{00000000-0005-0000-0000-0000C7000000}"/>
    <cellStyle name="Normal 3" xfId="132" xr:uid="{00000000-0005-0000-0000-0000C8000000}"/>
    <cellStyle name="Normal 3 2" xfId="133" xr:uid="{00000000-0005-0000-0000-0000C9000000}"/>
    <cellStyle name="Normal 3 2 2" xfId="260" xr:uid="{00000000-0005-0000-0000-0000CA000000}"/>
    <cellStyle name="Normal 3 3" xfId="134" xr:uid="{00000000-0005-0000-0000-0000CB000000}"/>
    <cellStyle name="Normal 3 4" xfId="247" xr:uid="{00000000-0005-0000-0000-0000CC000000}"/>
    <cellStyle name="Normal 30" xfId="135" xr:uid="{00000000-0005-0000-0000-0000CD000000}"/>
    <cellStyle name="Normal 31" xfId="136" xr:uid="{00000000-0005-0000-0000-0000CE000000}"/>
    <cellStyle name="Normal 32" xfId="137" xr:uid="{00000000-0005-0000-0000-0000CF000000}"/>
    <cellStyle name="Normal 33" xfId="138" xr:uid="{00000000-0005-0000-0000-0000D0000000}"/>
    <cellStyle name="Normal 34" xfId="139" xr:uid="{00000000-0005-0000-0000-0000D1000000}"/>
    <cellStyle name="Normal 35" xfId="140" xr:uid="{00000000-0005-0000-0000-0000D2000000}"/>
    <cellStyle name="Normal 36" xfId="141" xr:uid="{00000000-0005-0000-0000-0000D3000000}"/>
    <cellStyle name="Normal 37" xfId="142" xr:uid="{00000000-0005-0000-0000-0000D4000000}"/>
    <cellStyle name="Normal 38" xfId="143" xr:uid="{00000000-0005-0000-0000-0000D5000000}"/>
    <cellStyle name="Normal 39" xfId="144" xr:uid="{00000000-0005-0000-0000-0000D6000000}"/>
    <cellStyle name="Normal 4" xfId="1" xr:uid="{00000000-0005-0000-0000-0000D7000000}"/>
    <cellStyle name="Normal 4 2" xfId="237" xr:uid="{00000000-0005-0000-0000-0000D8000000}"/>
    <cellStyle name="Normal 4 2 2" xfId="261" xr:uid="{00000000-0005-0000-0000-0000D9000000}"/>
    <cellStyle name="Normal 4 3" xfId="238" xr:uid="{00000000-0005-0000-0000-0000DA000000}"/>
    <cellStyle name="Normal 4 4" xfId="253" xr:uid="{00000000-0005-0000-0000-0000DB000000}"/>
    <cellStyle name="Normal 40" xfId="145" xr:uid="{00000000-0005-0000-0000-0000DC000000}"/>
    <cellStyle name="Normal 41" xfId="146" xr:uid="{00000000-0005-0000-0000-0000DD000000}"/>
    <cellStyle name="Normal 41 2" xfId="147" xr:uid="{00000000-0005-0000-0000-0000DE000000}"/>
    <cellStyle name="Normal 42" xfId="148" xr:uid="{00000000-0005-0000-0000-0000DF000000}"/>
    <cellStyle name="Normal 43" xfId="149" xr:uid="{00000000-0005-0000-0000-0000E0000000}"/>
    <cellStyle name="Normal 44" xfId="150" xr:uid="{00000000-0005-0000-0000-0000E1000000}"/>
    <cellStyle name="Normal 45" xfId="151" xr:uid="{00000000-0005-0000-0000-0000E2000000}"/>
    <cellStyle name="Normal 46" xfId="152" xr:uid="{00000000-0005-0000-0000-0000E3000000}"/>
    <cellStyle name="Normal 47" xfId="153" xr:uid="{00000000-0005-0000-0000-0000E4000000}"/>
    <cellStyle name="Normal 48" xfId="154" xr:uid="{00000000-0005-0000-0000-0000E5000000}"/>
    <cellStyle name="Normal 49" xfId="155" xr:uid="{00000000-0005-0000-0000-0000E6000000}"/>
    <cellStyle name="Normal 5" xfId="156" xr:uid="{00000000-0005-0000-0000-0000E7000000}"/>
    <cellStyle name="Normal 5 2" xfId="244" xr:uid="{00000000-0005-0000-0000-0000E8000000}"/>
    <cellStyle name="Normal 5 2 2" xfId="245" xr:uid="{00000000-0005-0000-0000-0000E9000000}"/>
    <cellStyle name="Normal 5 2 2 2" xfId="262" xr:uid="{00000000-0005-0000-0000-0000EA000000}"/>
    <cellStyle name="Normal 5 2 2 2 2" xfId="310" xr:uid="{00000000-0005-0000-0000-0000EB000000}"/>
    <cellStyle name="Normal 5 2 2 3" xfId="251" xr:uid="{00000000-0005-0000-0000-0000EC000000}"/>
    <cellStyle name="Normal 5 2 2 3 2" xfId="307" xr:uid="{00000000-0005-0000-0000-0000ED000000}"/>
    <cellStyle name="Normal 5 2 2 4" xfId="302" xr:uid="{00000000-0005-0000-0000-0000EE000000}"/>
    <cellStyle name="Normal 5 2 3" xfId="263" xr:uid="{00000000-0005-0000-0000-0000EF000000}"/>
    <cellStyle name="Normal 5 2 3 2" xfId="311" xr:uid="{00000000-0005-0000-0000-0000F0000000}"/>
    <cellStyle name="Normal 5 2 4" xfId="250" xr:uid="{00000000-0005-0000-0000-0000F1000000}"/>
    <cellStyle name="Normal 5 2 4 2" xfId="306" xr:uid="{00000000-0005-0000-0000-0000F2000000}"/>
    <cellStyle name="Normal 5 2 5" xfId="301" xr:uid="{00000000-0005-0000-0000-0000F3000000}"/>
    <cellStyle name="Normal 5 3" xfId="246" xr:uid="{00000000-0005-0000-0000-0000F4000000}"/>
    <cellStyle name="Normal 5 3 2" xfId="264" xr:uid="{00000000-0005-0000-0000-0000F5000000}"/>
    <cellStyle name="Normal 5 3 2 2" xfId="312" xr:uid="{00000000-0005-0000-0000-0000F6000000}"/>
    <cellStyle name="Normal 5 3 3" xfId="252" xr:uid="{00000000-0005-0000-0000-0000F7000000}"/>
    <cellStyle name="Normal 5 3 3 2" xfId="308" xr:uid="{00000000-0005-0000-0000-0000F8000000}"/>
    <cellStyle name="Normal 5 3 4" xfId="303" xr:uid="{00000000-0005-0000-0000-0000F9000000}"/>
    <cellStyle name="Normal 5 4" xfId="242" xr:uid="{00000000-0005-0000-0000-0000FA000000}"/>
    <cellStyle name="Normal 5 4 2" xfId="265" xr:uid="{00000000-0005-0000-0000-0000FB000000}"/>
    <cellStyle name="Normal 5 4 2 2" xfId="313" xr:uid="{00000000-0005-0000-0000-0000FC000000}"/>
    <cellStyle name="Normal 5 4 3" xfId="300" xr:uid="{00000000-0005-0000-0000-0000FD000000}"/>
    <cellStyle name="Normal 5 5" xfId="249" xr:uid="{00000000-0005-0000-0000-0000FE000000}"/>
    <cellStyle name="Normal 5 5 2" xfId="305" xr:uid="{00000000-0005-0000-0000-0000FF000000}"/>
    <cellStyle name="Normal 50" xfId="157" xr:uid="{00000000-0005-0000-0000-000000010000}"/>
    <cellStyle name="Normal 51" xfId="158" xr:uid="{00000000-0005-0000-0000-000001010000}"/>
    <cellStyle name="Normal 52" xfId="159" xr:uid="{00000000-0005-0000-0000-000002010000}"/>
    <cellStyle name="Normal 53" xfId="160" xr:uid="{00000000-0005-0000-0000-000003010000}"/>
    <cellStyle name="Normal 54" xfId="161" xr:uid="{00000000-0005-0000-0000-000004010000}"/>
    <cellStyle name="Normal 55" xfId="162" xr:uid="{00000000-0005-0000-0000-000005010000}"/>
    <cellStyle name="Normal 56" xfId="163" xr:uid="{00000000-0005-0000-0000-000006010000}"/>
    <cellStyle name="Normal 57" xfId="164" xr:uid="{00000000-0005-0000-0000-000007010000}"/>
    <cellStyle name="Normal 58" xfId="165" xr:uid="{00000000-0005-0000-0000-000008010000}"/>
    <cellStyle name="Normal 59" xfId="166" xr:uid="{00000000-0005-0000-0000-000009010000}"/>
    <cellStyle name="Normal 6" xfId="167" xr:uid="{00000000-0005-0000-0000-00000A010000}"/>
    <cellStyle name="Normal 6 2" xfId="266" xr:uid="{00000000-0005-0000-0000-00000B010000}"/>
    <cellStyle name="Normal 60" xfId="168" xr:uid="{00000000-0005-0000-0000-00000C010000}"/>
    <cellStyle name="Normal 61" xfId="169" xr:uid="{00000000-0005-0000-0000-00000D010000}"/>
    <cellStyle name="Normal 62" xfId="170" xr:uid="{00000000-0005-0000-0000-00000E010000}"/>
    <cellStyle name="Normal 63" xfId="171" xr:uid="{00000000-0005-0000-0000-00000F010000}"/>
    <cellStyle name="Normal 64" xfId="172" xr:uid="{00000000-0005-0000-0000-000010010000}"/>
    <cellStyle name="Normal 65" xfId="173" xr:uid="{00000000-0005-0000-0000-000011010000}"/>
    <cellStyle name="Normal 66" xfId="174" xr:uid="{00000000-0005-0000-0000-000012010000}"/>
    <cellStyle name="Normal 67" xfId="175" xr:uid="{00000000-0005-0000-0000-000013010000}"/>
    <cellStyle name="Normal 68" xfId="176" xr:uid="{00000000-0005-0000-0000-000014010000}"/>
    <cellStyle name="Normal 69" xfId="177" xr:uid="{00000000-0005-0000-0000-000015010000}"/>
    <cellStyle name="Normal 7" xfId="178" xr:uid="{00000000-0005-0000-0000-000016010000}"/>
    <cellStyle name="Normal 7 2" xfId="267" xr:uid="{00000000-0005-0000-0000-000017010000}"/>
    <cellStyle name="Normal 70" xfId="179" xr:uid="{00000000-0005-0000-0000-000018010000}"/>
    <cellStyle name="Normal 71" xfId="180" xr:uid="{00000000-0005-0000-0000-000019010000}"/>
    <cellStyle name="Normal 72" xfId="181" xr:uid="{00000000-0005-0000-0000-00001A010000}"/>
    <cellStyle name="Normal 73" xfId="182" xr:uid="{00000000-0005-0000-0000-00001B010000}"/>
    <cellStyle name="Normal 74" xfId="183" xr:uid="{00000000-0005-0000-0000-00001C010000}"/>
    <cellStyle name="Normal 75" xfId="184" xr:uid="{00000000-0005-0000-0000-00001D010000}"/>
    <cellStyle name="Normal 76" xfId="185" xr:uid="{00000000-0005-0000-0000-00001E010000}"/>
    <cellStyle name="Normal 77" xfId="186" xr:uid="{00000000-0005-0000-0000-00001F010000}"/>
    <cellStyle name="Normal 78" xfId="187" xr:uid="{00000000-0005-0000-0000-000020010000}"/>
    <cellStyle name="Normal 79" xfId="188" xr:uid="{00000000-0005-0000-0000-000021010000}"/>
    <cellStyle name="Normal 8" xfId="189" xr:uid="{00000000-0005-0000-0000-000022010000}"/>
    <cellStyle name="Normal 8 2" xfId="239" xr:uid="{00000000-0005-0000-0000-000023010000}"/>
    <cellStyle name="Normal 8 2 2" xfId="268" xr:uid="{00000000-0005-0000-0000-000024010000}"/>
    <cellStyle name="Normal 80" xfId="190" xr:uid="{00000000-0005-0000-0000-000025010000}"/>
    <cellStyle name="Normal 81" xfId="191" xr:uid="{00000000-0005-0000-0000-000026010000}"/>
    <cellStyle name="Normal 82" xfId="192" xr:uid="{00000000-0005-0000-0000-000027010000}"/>
    <cellStyle name="Normal 83" xfId="193" xr:uid="{00000000-0005-0000-0000-000028010000}"/>
    <cellStyle name="Normal 84" xfId="194" xr:uid="{00000000-0005-0000-0000-000029010000}"/>
    <cellStyle name="Normal 85" xfId="195" xr:uid="{00000000-0005-0000-0000-00002A010000}"/>
    <cellStyle name="Normal 86" xfId="196" xr:uid="{00000000-0005-0000-0000-00002B010000}"/>
    <cellStyle name="Normal 87" xfId="197" xr:uid="{00000000-0005-0000-0000-00002C010000}"/>
    <cellStyle name="Normal 88" xfId="198" xr:uid="{00000000-0005-0000-0000-00002D010000}"/>
    <cellStyle name="Normal 89" xfId="199" xr:uid="{00000000-0005-0000-0000-00002E010000}"/>
    <cellStyle name="Normal 9" xfId="200" xr:uid="{00000000-0005-0000-0000-00002F010000}"/>
    <cellStyle name="Normal 9 2" xfId="269" xr:uid="{00000000-0005-0000-0000-000030010000}"/>
    <cellStyle name="Normal 90" xfId="201" xr:uid="{00000000-0005-0000-0000-000031010000}"/>
    <cellStyle name="Normal 91" xfId="202" xr:uid="{00000000-0005-0000-0000-000032010000}"/>
    <cellStyle name="Normal 92" xfId="203" xr:uid="{00000000-0005-0000-0000-000033010000}"/>
    <cellStyle name="Normal 93" xfId="204" xr:uid="{00000000-0005-0000-0000-000034010000}"/>
    <cellStyle name="Normal 94" xfId="205" xr:uid="{00000000-0005-0000-0000-000035010000}"/>
    <cellStyle name="Normal 95" xfId="206" xr:uid="{00000000-0005-0000-0000-000036010000}"/>
    <cellStyle name="Normal 96" xfId="207" xr:uid="{00000000-0005-0000-0000-000037010000}"/>
    <cellStyle name="Normal 97" xfId="208" xr:uid="{00000000-0005-0000-0000-000038010000}"/>
    <cellStyle name="Normal 98" xfId="209" xr:uid="{00000000-0005-0000-0000-000039010000}"/>
    <cellStyle name="Normal 99" xfId="210" xr:uid="{00000000-0005-0000-0000-00003A01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tes.suntrust.com/Documents%20and%20Settings/UVBR56/My%20Documents/0.%20Bobbi/2.%20LightStream/LightStream%20Motivator%20Edge$ell%20Integration%20Project%20DIME_RADIx%20System%20Requirement%20Catalog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tes.suntrust.com/Documents%20and%20Settings/zps34/Local%20Settings/Temporary%20Internet%20Files/Content.Outlook/SBP980ZF/CIS_Requirements_Catalog_LightStream_June%202013_New_SYSRs_DeD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Overview"/>
      <sheetName val="System Functional"/>
      <sheetName val="System Nonfunctional"/>
      <sheetName val="Data Mapping-LS Acct Mstr File "/>
      <sheetName val="Data Mapping - Motivator File"/>
      <sheetName val="Va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System Functional"/>
      <sheetName val="System Nonfunctional"/>
      <sheetName val="Va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F35"/>
  <sheetViews>
    <sheetView topLeftCell="B4" workbookViewId="0">
      <selection activeCell="E7" sqref="E7"/>
    </sheetView>
  </sheetViews>
  <sheetFormatPr defaultRowHeight="15" x14ac:dyDescent="0.25"/>
  <cols>
    <col min="1" max="1" width="6.42578125" style="13" customWidth="1"/>
    <col min="2" max="3" width="17.85546875" style="13" customWidth="1"/>
    <col min="4" max="4" width="22.5703125" style="13" customWidth="1"/>
    <col min="5" max="5" width="78.42578125" style="13" bestFit="1" customWidth="1"/>
    <col min="6" max="6" width="21.7109375" style="13" customWidth="1"/>
    <col min="7" max="257" width="9.140625" style="13"/>
    <col min="258" max="258" width="17.85546875" style="13" customWidth="1"/>
    <col min="259" max="259" width="22.5703125" style="13" customWidth="1"/>
    <col min="260" max="260" width="63.42578125" style="13" customWidth="1"/>
    <col min="261" max="261" width="21.7109375" style="13" customWidth="1"/>
    <col min="262" max="513" width="9.140625" style="13"/>
    <col min="514" max="514" width="17.85546875" style="13" customWidth="1"/>
    <col min="515" max="515" width="22.5703125" style="13" customWidth="1"/>
    <col min="516" max="516" width="63.42578125" style="13" customWidth="1"/>
    <col min="517" max="517" width="21.7109375" style="13" customWidth="1"/>
    <col min="518" max="769" width="9.140625" style="13"/>
    <col min="770" max="770" width="17.85546875" style="13" customWidth="1"/>
    <col min="771" max="771" width="22.5703125" style="13" customWidth="1"/>
    <col min="772" max="772" width="63.42578125" style="13" customWidth="1"/>
    <col min="773" max="773" width="21.7109375" style="13" customWidth="1"/>
    <col min="774" max="1025" width="9.140625" style="13"/>
    <col min="1026" max="1026" width="17.85546875" style="13" customWidth="1"/>
    <col min="1027" max="1027" width="22.5703125" style="13" customWidth="1"/>
    <col min="1028" max="1028" width="63.42578125" style="13" customWidth="1"/>
    <col min="1029" max="1029" width="21.7109375" style="13" customWidth="1"/>
    <col min="1030" max="1281" width="9.140625" style="13"/>
    <col min="1282" max="1282" width="17.85546875" style="13" customWidth="1"/>
    <col min="1283" max="1283" width="22.5703125" style="13" customWidth="1"/>
    <col min="1284" max="1284" width="63.42578125" style="13" customWidth="1"/>
    <col min="1285" max="1285" width="21.7109375" style="13" customWidth="1"/>
    <col min="1286" max="1537" width="9.140625" style="13"/>
    <col min="1538" max="1538" width="17.85546875" style="13" customWidth="1"/>
    <col min="1539" max="1539" width="22.5703125" style="13" customWidth="1"/>
    <col min="1540" max="1540" width="63.42578125" style="13" customWidth="1"/>
    <col min="1541" max="1541" width="21.7109375" style="13" customWidth="1"/>
    <col min="1542" max="1793" width="9.140625" style="13"/>
    <col min="1794" max="1794" width="17.85546875" style="13" customWidth="1"/>
    <col min="1795" max="1795" width="22.5703125" style="13" customWidth="1"/>
    <col min="1796" max="1796" width="63.42578125" style="13" customWidth="1"/>
    <col min="1797" max="1797" width="21.7109375" style="13" customWidth="1"/>
    <col min="1798" max="2049" width="9.140625" style="13"/>
    <col min="2050" max="2050" width="17.85546875" style="13" customWidth="1"/>
    <col min="2051" max="2051" width="22.5703125" style="13" customWidth="1"/>
    <col min="2052" max="2052" width="63.42578125" style="13" customWidth="1"/>
    <col min="2053" max="2053" width="21.7109375" style="13" customWidth="1"/>
    <col min="2054" max="2305" width="9.140625" style="13"/>
    <col min="2306" max="2306" width="17.85546875" style="13" customWidth="1"/>
    <col min="2307" max="2307" width="22.5703125" style="13" customWidth="1"/>
    <col min="2308" max="2308" width="63.42578125" style="13" customWidth="1"/>
    <col min="2309" max="2309" width="21.7109375" style="13" customWidth="1"/>
    <col min="2310" max="2561" width="9.140625" style="13"/>
    <col min="2562" max="2562" width="17.85546875" style="13" customWidth="1"/>
    <col min="2563" max="2563" width="22.5703125" style="13" customWidth="1"/>
    <col min="2564" max="2564" width="63.42578125" style="13" customWidth="1"/>
    <col min="2565" max="2565" width="21.7109375" style="13" customWidth="1"/>
    <col min="2566" max="2817" width="9.140625" style="13"/>
    <col min="2818" max="2818" width="17.85546875" style="13" customWidth="1"/>
    <col min="2819" max="2819" width="22.5703125" style="13" customWidth="1"/>
    <col min="2820" max="2820" width="63.42578125" style="13" customWidth="1"/>
    <col min="2821" max="2821" width="21.7109375" style="13" customWidth="1"/>
    <col min="2822" max="3073" width="9.140625" style="13"/>
    <col min="3074" max="3074" width="17.85546875" style="13" customWidth="1"/>
    <col min="3075" max="3075" width="22.5703125" style="13" customWidth="1"/>
    <col min="3076" max="3076" width="63.42578125" style="13" customWidth="1"/>
    <col min="3077" max="3077" width="21.7109375" style="13" customWidth="1"/>
    <col min="3078" max="3329" width="9.140625" style="13"/>
    <col min="3330" max="3330" width="17.85546875" style="13" customWidth="1"/>
    <col min="3331" max="3331" width="22.5703125" style="13" customWidth="1"/>
    <col min="3332" max="3332" width="63.42578125" style="13" customWidth="1"/>
    <col min="3333" max="3333" width="21.7109375" style="13" customWidth="1"/>
    <col min="3334" max="3585" width="9.140625" style="13"/>
    <col min="3586" max="3586" width="17.85546875" style="13" customWidth="1"/>
    <col min="3587" max="3587" width="22.5703125" style="13" customWidth="1"/>
    <col min="3588" max="3588" width="63.42578125" style="13" customWidth="1"/>
    <col min="3589" max="3589" width="21.7109375" style="13" customWidth="1"/>
    <col min="3590" max="3841" width="9.140625" style="13"/>
    <col min="3842" max="3842" width="17.85546875" style="13" customWidth="1"/>
    <col min="3843" max="3843" width="22.5703125" style="13" customWidth="1"/>
    <col min="3844" max="3844" width="63.42578125" style="13" customWidth="1"/>
    <col min="3845" max="3845" width="21.7109375" style="13" customWidth="1"/>
    <col min="3846" max="4097" width="9.140625" style="13"/>
    <col min="4098" max="4098" width="17.85546875" style="13" customWidth="1"/>
    <col min="4099" max="4099" width="22.5703125" style="13" customWidth="1"/>
    <col min="4100" max="4100" width="63.42578125" style="13" customWidth="1"/>
    <col min="4101" max="4101" width="21.7109375" style="13" customWidth="1"/>
    <col min="4102" max="4353" width="9.140625" style="13"/>
    <col min="4354" max="4354" width="17.85546875" style="13" customWidth="1"/>
    <col min="4355" max="4355" width="22.5703125" style="13" customWidth="1"/>
    <col min="4356" max="4356" width="63.42578125" style="13" customWidth="1"/>
    <col min="4357" max="4357" width="21.7109375" style="13" customWidth="1"/>
    <col min="4358" max="4609" width="9.140625" style="13"/>
    <col min="4610" max="4610" width="17.85546875" style="13" customWidth="1"/>
    <col min="4611" max="4611" width="22.5703125" style="13" customWidth="1"/>
    <col min="4612" max="4612" width="63.42578125" style="13" customWidth="1"/>
    <col min="4613" max="4613" width="21.7109375" style="13" customWidth="1"/>
    <col min="4614" max="4865" width="9.140625" style="13"/>
    <col min="4866" max="4866" width="17.85546875" style="13" customWidth="1"/>
    <col min="4867" max="4867" width="22.5703125" style="13" customWidth="1"/>
    <col min="4868" max="4868" width="63.42578125" style="13" customWidth="1"/>
    <col min="4869" max="4869" width="21.7109375" style="13" customWidth="1"/>
    <col min="4870" max="5121" width="9.140625" style="13"/>
    <col min="5122" max="5122" width="17.85546875" style="13" customWidth="1"/>
    <col min="5123" max="5123" width="22.5703125" style="13" customWidth="1"/>
    <col min="5124" max="5124" width="63.42578125" style="13" customWidth="1"/>
    <col min="5125" max="5125" width="21.7109375" style="13" customWidth="1"/>
    <col min="5126" max="5377" width="9.140625" style="13"/>
    <col min="5378" max="5378" width="17.85546875" style="13" customWidth="1"/>
    <col min="5379" max="5379" width="22.5703125" style="13" customWidth="1"/>
    <col min="5380" max="5380" width="63.42578125" style="13" customWidth="1"/>
    <col min="5381" max="5381" width="21.7109375" style="13" customWidth="1"/>
    <col min="5382" max="5633" width="9.140625" style="13"/>
    <col min="5634" max="5634" width="17.85546875" style="13" customWidth="1"/>
    <col min="5635" max="5635" width="22.5703125" style="13" customWidth="1"/>
    <col min="5636" max="5636" width="63.42578125" style="13" customWidth="1"/>
    <col min="5637" max="5637" width="21.7109375" style="13" customWidth="1"/>
    <col min="5638" max="5889" width="9.140625" style="13"/>
    <col min="5890" max="5890" width="17.85546875" style="13" customWidth="1"/>
    <col min="5891" max="5891" width="22.5703125" style="13" customWidth="1"/>
    <col min="5892" max="5892" width="63.42578125" style="13" customWidth="1"/>
    <col min="5893" max="5893" width="21.7109375" style="13" customWidth="1"/>
    <col min="5894" max="6145" width="9.140625" style="13"/>
    <col min="6146" max="6146" width="17.85546875" style="13" customWidth="1"/>
    <col min="6147" max="6147" width="22.5703125" style="13" customWidth="1"/>
    <col min="6148" max="6148" width="63.42578125" style="13" customWidth="1"/>
    <col min="6149" max="6149" width="21.7109375" style="13" customWidth="1"/>
    <col min="6150" max="6401" width="9.140625" style="13"/>
    <col min="6402" max="6402" width="17.85546875" style="13" customWidth="1"/>
    <col min="6403" max="6403" width="22.5703125" style="13" customWidth="1"/>
    <col min="6404" max="6404" width="63.42578125" style="13" customWidth="1"/>
    <col min="6405" max="6405" width="21.7109375" style="13" customWidth="1"/>
    <col min="6406" max="6657" width="9.140625" style="13"/>
    <col min="6658" max="6658" width="17.85546875" style="13" customWidth="1"/>
    <col min="6659" max="6659" width="22.5703125" style="13" customWidth="1"/>
    <col min="6660" max="6660" width="63.42578125" style="13" customWidth="1"/>
    <col min="6661" max="6661" width="21.7109375" style="13" customWidth="1"/>
    <col min="6662" max="6913" width="9.140625" style="13"/>
    <col min="6914" max="6914" width="17.85546875" style="13" customWidth="1"/>
    <col min="6915" max="6915" width="22.5703125" style="13" customWidth="1"/>
    <col min="6916" max="6916" width="63.42578125" style="13" customWidth="1"/>
    <col min="6917" max="6917" width="21.7109375" style="13" customWidth="1"/>
    <col min="6918" max="7169" width="9.140625" style="13"/>
    <col min="7170" max="7170" width="17.85546875" style="13" customWidth="1"/>
    <col min="7171" max="7171" width="22.5703125" style="13" customWidth="1"/>
    <col min="7172" max="7172" width="63.42578125" style="13" customWidth="1"/>
    <col min="7173" max="7173" width="21.7109375" style="13" customWidth="1"/>
    <col min="7174" max="7425" width="9.140625" style="13"/>
    <col min="7426" max="7426" width="17.85546875" style="13" customWidth="1"/>
    <col min="7427" max="7427" width="22.5703125" style="13" customWidth="1"/>
    <col min="7428" max="7428" width="63.42578125" style="13" customWidth="1"/>
    <col min="7429" max="7429" width="21.7109375" style="13" customWidth="1"/>
    <col min="7430" max="7681" width="9.140625" style="13"/>
    <col min="7682" max="7682" width="17.85546875" style="13" customWidth="1"/>
    <col min="7683" max="7683" width="22.5703125" style="13" customWidth="1"/>
    <col min="7684" max="7684" width="63.42578125" style="13" customWidth="1"/>
    <col min="7685" max="7685" width="21.7109375" style="13" customWidth="1"/>
    <col min="7686" max="7937" width="9.140625" style="13"/>
    <col min="7938" max="7938" width="17.85546875" style="13" customWidth="1"/>
    <col min="7939" max="7939" width="22.5703125" style="13" customWidth="1"/>
    <col min="7940" max="7940" width="63.42578125" style="13" customWidth="1"/>
    <col min="7941" max="7941" width="21.7109375" style="13" customWidth="1"/>
    <col min="7942" max="8193" width="9.140625" style="13"/>
    <col min="8194" max="8194" width="17.85546875" style="13" customWidth="1"/>
    <col min="8195" max="8195" width="22.5703125" style="13" customWidth="1"/>
    <col min="8196" max="8196" width="63.42578125" style="13" customWidth="1"/>
    <col min="8197" max="8197" width="21.7109375" style="13" customWidth="1"/>
    <col min="8198" max="8449" width="9.140625" style="13"/>
    <col min="8450" max="8450" width="17.85546875" style="13" customWidth="1"/>
    <col min="8451" max="8451" width="22.5703125" style="13" customWidth="1"/>
    <col min="8452" max="8452" width="63.42578125" style="13" customWidth="1"/>
    <col min="8453" max="8453" width="21.7109375" style="13" customWidth="1"/>
    <col min="8454" max="8705" width="9.140625" style="13"/>
    <col min="8706" max="8706" width="17.85546875" style="13" customWidth="1"/>
    <col min="8707" max="8707" width="22.5703125" style="13" customWidth="1"/>
    <col min="8708" max="8708" width="63.42578125" style="13" customWidth="1"/>
    <col min="8709" max="8709" width="21.7109375" style="13" customWidth="1"/>
    <col min="8710" max="8961" width="9.140625" style="13"/>
    <col min="8962" max="8962" width="17.85546875" style="13" customWidth="1"/>
    <col min="8963" max="8963" width="22.5703125" style="13" customWidth="1"/>
    <col min="8964" max="8964" width="63.42578125" style="13" customWidth="1"/>
    <col min="8965" max="8965" width="21.7109375" style="13" customWidth="1"/>
    <col min="8966" max="9217" width="9.140625" style="13"/>
    <col min="9218" max="9218" width="17.85546875" style="13" customWidth="1"/>
    <col min="9219" max="9219" width="22.5703125" style="13" customWidth="1"/>
    <col min="9220" max="9220" width="63.42578125" style="13" customWidth="1"/>
    <col min="9221" max="9221" width="21.7109375" style="13" customWidth="1"/>
    <col min="9222" max="9473" width="9.140625" style="13"/>
    <col min="9474" max="9474" width="17.85546875" style="13" customWidth="1"/>
    <col min="9475" max="9475" width="22.5703125" style="13" customWidth="1"/>
    <col min="9476" max="9476" width="63.42578125" style="13" customWidth="1"/>
    <col min="9477" max="9477" width="21.7109375" style="13" customWidth="1"/>
    <col min="9478" max="9729" width="9.140625" style="13"/>
    <col min="9730" max="9730" width="17.85546875" style="13" customWidth="1"/>
    <col min="9731" max="9731" width="22.5703125" style="13" customWidth="1"/>
    <col min="9732" max="9732" width="63.42578125" style="13" customWidth="1"/>
    <col min="9733" max="9733" width="21.7109375" style="13" customWidth="1"/>
    <col min="9734" max="9985" width="9.140625" style="13"/>
    <col min="9986" max="9986" width="17.85546875" style="13" customWidth="1"/>
    <col min="9987" max="9987" width="22.5703125" style="13" customWidth="1"/>
    <col min="9988" max="9988" width="63.42578125" style="13" customWidth="1"/>
    <col min="9989" max="9989" width="21.7109375" style="13" customWidth="1"/>
    <col min="9990" max="10241" width="9.140625" style="13"/>
    <col min="10242" max="10242" width="17.85546875" style="13" customWidth="1"/>
    <col min="10243" max="10243" width="22.5703125" style="13" customWidth="1"/>
    <col min="10244" max="10244" width="63.42578125" style="13" customWidth="1"/>
    <col min="10245" max="10245" width="21.7109375" style="13" customWidth="1"/>
    <col min="10246" max="10497" width="9.140625" style="13"/>
    <col min="10498" max="10498" width="17.85546875" style="13" customWidth="1"/>
    <col min="10499" max="10499" width="22.5703125" style="13" customWidth="1"/>
    <col min="10500" max="10500" width="63.42578125" style="13" customWidth="1"/>
    <col min="10501" max="10501" width="21.7109375" style="13" customWidth="1"/>
    <col min="10502" max="10753" width="9.140625" style="13"/>
    <col min="10754" max="10754" width="17.85546875" style="13" customWidth="1"/>
    <col min="10755" max="10755" width="22.5703125" style="13" customWidth="1"/>
    <col min="10756" max="10756" width="63.42578125" style="13" customWidth="1"/>
    <col min="10757" max="10757" width="21.7109375" style="13" customWidth="1"/>
    <col min="10758" max="11009" width="9.140625" style="13"/>
    <col min="11010" max="11010" width="17.85546875" style="13" customWidth="1"/>
    <col min="11011" max="11011" width="22.5703125" style="13" customWidth="1"/>
    <col min="11012" max="11012" width="63.42578125" style="13" customWidth="1"/>
    <col min="11013" max="11013" width="21.7109375" style="13" customWidth="1"/>
    <col min="11014" max="11265" width="9.140625" style="13"/>
    <col min="11266" max="11266" width="17.85546875" style="13" customWidth="1"/>
    <col min="11267" max="11267" width="22.5703125" style="13" customWidth="1"/>
    <col min="11268" max="11268" width="63.42578125" style="13" customWidth="1"/>
    <col min="11269" max="11269" width="21.7109375" style="13" customWidth="1"/>
    <col min="11270" max="11521" width="9.140625" style="13"/>
    <col min="11522" max="11522" width="17.85546875" style="13" customWidth="1"/>
    <col min="11523" max="11523" width="22.5703125" style="13" customWidth="1"/>
    <col min="11524" max="11524" width="63.42578125" style="13" customWidth="1"/>
    <col min="11525" max="11525" width="21.7109375" style="13" customWidth="1"/>
    <col min="11526" max="11777" width="9.140625" style="13"/>
    <col min="11778" max="11778" width="17.85546875" style="13" customWidth="1"/>
    <col min="11779" max="11779" width="22.5703125" style="13" customWidth="1"/>
    <col min="11780" max="11780" width="63.42578125" style="13" customWidth="1"/>
    <col min="11781" max="11781" width="21.7109375" style="13" customWidth="1"/>
    <col min="11782" max="12033" width="9.140625" style="13"/>
    <col min="12034" max="12034" width="17.85546875" style="13" customWidth="1"/>
    <col min="12035" max="12035" width="22.5703125" style="13" customWidth="1"/>
    <col min="12036" max="12036" width="63.42578125" style="13" customWidth="1"/>
    <col min="12037" max="12037" width="21.7109375" style="13" customWidth="1"/>
    <col min="12038" max="12289" width="9.140625" style="13"/>
    <col min="12290" max="12290" width="17.85546875" style="13" customWidth="1"/>
    <col min="12291" max="12291" width="22.5703125" style="13" customWidth="1"/>
    <col min="12292" max="12292" width="63.42578125" style="13" customWidth="1"/>
    <col min="12293" max="12293" width="21.7109375" style="13" customWidth="1"/>
    <col min="12294" max="12545" width="9.140625" style="13"/>
    <col min="12546" max="12546" width="17.85546875" style="13" customWidth="1"/>
    <col min="12547" max="12547" width="22.5703125" style="13" customWidth="1"/>
    <col min="12548" max="12548" width="63.42578125" style="13" customWidth="1"/>
    <col min="12549" max="12549" width="21.7109375" style="13" customWidth="1"/>
    <col min="12550" max="12801" width="9.140625" style="13"/>
    <col min="12802" max="12802" width="17.85546875" style="13" customWidth="1"/>
    <col min="12803" max="12803" width="22.5703125" style="13" customWidth="1"/>
    <col min="12804" max="12804" width="63.42578125" style="13" customWidth="1"/>
    <col min="12805" max="12805" width="21.7109375" style="13" customWidth="1"/>
    <col min="12806" max="13057" width="9.140625" style="13"/>
    <col min="13058" max="13058" width="17.85546875" style="13" customWidth="1"/>
    <col min="13059" max="13059" width="22.5703125" style="13" customWidth="1"/>
    <col min="13060" max="13060" width="63.42578125" style="13" customWidth="1"/>
    <col min="13061" max="13061" width="21.7109375" style="13" customWidth="1"/>
    <col min="13062" max="13313" width="9.140625" style="13"/>
    <col min="13314" max="13314" width="17.85546875" style="13" customWidth="1"/>
    <col min="13315" max="13315" width="22.5703125" style="13" customWidth="1"/>
    <col min="13316" max="13316" width="63.42578125" style="13" customWidth="1"/>
    <col min="13317" max="13317" width="21.7109375" style="13" customWidth="1"/>
    <col min="13318" max="13569" width="9.140625" style="13"/>
    <col min="13570" max="13570" width="17.85546875" style="13" customWidth="1"/>
    <col min="13571" max="13571" width="22.5703125" style="13" customWidth="1"/>
    <col min="13572" max="13572" width="63.42578125" style="13" customWidth="1"/>
    <col min="13573" max="13573" width="21.7109375" style="13" customWidth="1"/>
    <col min="13574" max="13825" width="9.140625" style="13"/>
    <col min="13826" max="13826" width="17.85546875" style="13" customWidth="1"/>
    <col min="13827" max="13827" width="22.5703125" style="13" customWidth="1"/>
    <col min="13828" max="13828" width="63.42578125" style="13" customWidth="1"/>
    <col min="13829" max="13829" width="21.7109375" style="13" customWidth="1"/>
    <col min="13830" max="14081" width="9.140625" style="13"/>
    <col min="14082" max="14082" width="17.85546875" style="13" customWidth="1"/>
    <col min="14083" max="14083" width="22.5703125" style="13" customWidth="1"/>
    <col min="14084" max="14084" width="63.42578125" style="13" customWidth="1"/>
    <col min="14085" max="14085" width="21.7109375" style="13" customWidth="1"/>
    <col min="14086" max="14337" width="9.140625" style="13"/>
    <col min="14338" max="14338" width="17.85546875" style="13" customWidth="1"/>
    <col min="14339" max="14339" width="22.5703125" style="13" customWidth="1"/>
    <col min="14340" max="14340" width="63.42578125" style="13" customWidth="1"/>
    <col min="14341" max="14341" width="21.7109375" style="13" customWidth="1"/>
    <col min="14342" max="14593" width="9.140625" style="13"/>
    <col min="14594" max="14594" width="17.85546875" style="13" customWidth="1"/>
    <col min="14595" max="14595" width="22.5703125" style="13" customWidth="1"/>
    <col min="14596" max="14596" width="63.42578125" style="13" customWidth="1"/>
    <col min="14597" max="14597" width="21.7109375" style="13" customWidth="1"/>
    <col min="14598" max="14849" width="9.140625" style="13"/>
    <col min="14850" max="14850" width="17.85546875" style="13" customWidth="1"/>
    <col min="14851" max="14851" width="22.5703125" style="13" customWidth="1"/>
    <col min="14852" max="14852" width="63.42578125" style="13" customWidth="1"/>
    <col min="14853" max="14853" width="21.7109375" style="13" customWidth="1"/>
    <col min="14854" max="15105" width="9.140625" style="13"/>
    <col min="15106" max="15106" width="17.85546875" style="13" customWidth="1"/>
    <col min="15107" max="15107" width="22.5703125" style="13" customWidth="1"/>
    <col min="15108" max="15108" width="63.42578125" style="13" customWidth="1"/>
    <col min="15109" max="15109" width="21.7109375" style="13" customWidth="1"/>
    <col min="15110" max="15361" width="9.140625" style="13"/>
    <col min="15362" max="15362" width="17.85546875" style="13" customWidth="1"/>
    <col min="15363" max="15363" width="22.5703125" style="13" customWidth="1"/>
    <col min="15364" max="15364" width="63.42578125" style="13" customWidth="1"/>
    <col min="15365" max="15365" width="21.7109375" style="13" customWidth="1"/>
    <col min="15366" max="15617" width="9.140625" style="13"/>
    <col min="15618" max="15618" width="17.85546875" style="13" customWidth="1"/>
    <col min="15619" max="15619" width="22.5703125" style="13" customWidth="1"/>
    <col min="15620" max="15620" width="63.42578125" style="13" customWidth="1"/>
    <col min="15621" max="15621" width="21.7109375" style="13" customWidth="1"/>
    <col min="15622" max="15873" width="9.140625" style="13"/>
    <col min="15874" max="15874" width="17.85546875" style="13" customWidth="1"/>
    <col min="15875" max="15875" width="22.5703125" style="13" customWidth="1"/>
    <col min="15876" max="15876" width="63.42578125" style="13" customWidth="1"/>
    <col min="15877" max="15877" width="21.7109375" style="13" customWidth="1"/>
    <col min="15878" max="16129" width="9.140625" style="13"/>
    <col min="16130" max="16130" width="17.85546875" style="13" customWidth="1"/>
    <col min="16131" max="16131" width="22.5703125" style="13" customWidth="1"/>
    <col min="16132" max="16132" width="63.42578125" style="13" customWidth="1"/>
    <col min="16133" max="16133" width="21.7109375" style="13" customWidth="1"/>
    <col min="16134" max="16384" width="9.140625" style="13"/>
  </cols>
  <sheetData>
    <row r="2" spans="2:6" x14ac:dyDescent="0.25">
      <c r="B2" s="12" t="s">
        <v>0</v>
      </c>
      <c r="C2" s="12" t="s">
        <v>1</v>
      </c>
      <c r="D2" s="12" t="s">
        <v>2</v>
      </c>
      <c r="E2" s="12" t="s">
        <v>3</v>
      </c>
      <c r="F2" s="12" t="s">
        <v>4</v>
      </c>
    </row>
    <row r="3" spans="2:6" x14ac:dyDescent="0.25">
      <c r="B3" s="14">
        <v>43964</v>
      </c>
      <c r="C3" s="14" t="s">
        <v>5</v>
      </c>
      <c r="D3" s="15" t="s">
        <v>6</v>
      </c>
      <c r="E3" s="16" t="s">
        <v>7</v>
      </c>
      <c r="F3" s="17" t="s">
        <v>8</v>
      </c>
    </row>
    <row r="4" spans="2:6" ht="38.25" x14ac:dyDescent="0.25">
      <c r="B4" s="14">
        <v>44061</v>
      </c>
      <c r="C4" s="14" t="s">
        <v>9</v>
      </c>
      <c r="D4" s="16" t="s">
        <v>10</v>
      </c>
      <c r="E4" s="16" t="s">
        <v>11</v>
      </c>
      <c r="F4" s="17" t="s">
        <v>8</v>
      </c>
    </row>
    <row r="5" spans="2:6" x14ac:dyDescent="0.25">
      <c r="B5" s="14">
        <v>44069</v>
      </c>
      <c r="C5" s="14" t="s">
        <v>12</v>
      </c>
      <c r="D5" s="16">
        <v>605</v>
      </c>
      <c r="E5" s="79" t="s">
        <v>13</v>
      </c>
      <c r="F5" s="17" t="s">
        <v>8</v>
      </c>
    </row>
    <row r="6" spans="2:6" ht="76.5" x14ac:dyDescent="0.25">
      <c r="B6" s="14">
        <v>44075</v>
      </c>
      <c r="C6" s="14" t="s">
        <v>14</v>
      </c>
      <c r="D6" s="16" t="s">
        <v>15</v>
      </c>
      <c r="E6" s="16" t="s">
        <v>16</v>
      </c>
      <c r="F6" s="17" t="s">
        <v>8</v>
      </c>
    </row>
    <row r="7" spans="2:6" ht="25.5" x14ac:dyDescent="0.25">
      <c r="B7" s="14">
        <v>44222</v>
      </c>
      <c r="C7" s="14" t="s">
        <v>14</v>
      </c>
      <c r="D7" s="16" t="s">
        <v>17</v>
      </c>
      <c r="E7" s="19" t="s">
        <v>18</v>
      </c>
      <c r="F7" s="17" t="s">
        <v>19</v>
      </c>
    </row>
    <row r="8" spans="2:6" x14ac:dyDescent="0.25">
      <c r="B8" s="14">
        <v>44252</v>
      </c>
      <c r="C8" s="14" t="s">
        <v>20</v>
      </c>
      <c r="D8" s="16" t="s">
        <v>21</v>
      </c>
      <c r="E8" s="19"/>
      <c r="F8" s="17"/>
    </row>
    <row r="9" spans="2:6" ht="25.5" x14ac:dyDescent="0.25">
      <c r="B9" s="14">
        <v>44232</v>
      </c>
      <c r="C9" s="74" t="s">
        <v>22</v>
      </c>
      <c r="D9" s="16" t="s">
        <v>21</v>
      </c>
      <c r="E9" s="80" t="s">
        <v>23</v>
      </c>
      <c r="F9" s="17" t="s">
        <v>24</v>
      </c>
    </row>
    <row r="10" spans="2:6" x14ac:dyDescent="0.25">
      <c r="B10" s="14">
        <v>44260</v>
      </c>
      <c r="C10" s="74" t="s">
        <v>22</v>
      </c>
      <c r="D10" s="16">
        <v>200</v>
      </c>
      <c r="E10" s="22" t="s">
        <v>25</v>
      </c>
      <c r="F10" s="17" t="s">
        <v>19</v>
      </c>
    </row>
    <row r="11" spans="2:6" x14ac:dyDescent="0.25">
      <c r="B11" s="14">
        <v>45586</v>
      </c>
      <c r="C11" s="74" t="s">
        <v>22</v>
      </c>
      <c r="D11" s="16">
        <v>300</v>
      </c>
      <c r="E11" s="16" t="s">
        <v>26</v>
      </c>
      <c r="F11" s="17" t="s">
        <v>27</v>
      </c>
    </row>
    <row r="12" spans="2:6" x14ac:dyDescent="0.25">
      <c r="B12" s="14">
        <v>45617</v>
      </c>
      <c r="C12" s="14" t="s">
        <v>28</v>
      </c>
      <c r="D12" s="16" t="s">
        <v>29</v>
      </c>
      <c r="E12" s="16" t="s">
        <v>30</v>
      </c>
      <c r="F12" s="17" t="s">
        <v>31</v>
      </c>
    </row>
    <row r="13" spans="2:6" x14ac:dyDescent="0.25">
      <c r="B13" s="14"/>
      <c r="C13" s="14"/>
      <c r="D13" s="16"/>
      <c r="E13" s="16"/>
      <c r="F13" s="17"/>
    </row>
    <row r="14" spans="2:6" x14ac:dyDescent="0.25">
      <c r="B14" s="14"/>
      <c r="C14" s="14"/>
      <c r="D14" s="16"/>
      <c r="E14" s="16"/>
      <c r="F14" s="17"/>
    </row>
    <row r="15" spans="2:6" x14ac:dyDescent="0.25">
      <c r="B15" s="14"/>
      <c r="C15" s="14"/>
      <c r="D15" s="16"/>
      <c r="E15" s="16"/>
      <c r="F15" s="17"/>
    </row>
    <row r="16" spans="2:6" x14ac:dyDescent="0.25">
      <c r="B16" s="14"/>
      <c r="C16" s="14"/>
      <c r="D16" s="16"/>
      <c r="E16" s="16"/>
      <c r="F16" s="17"/>
    </row>
    <row r="17" spans="2:6" x14ac:dyDescent="0.25">
      <c r="B17" s="21"/>
      <c r="C17" s="21"/>
      <c r="D17" s="16"/>
      <c r="E17" s="16"/>
      <c r="F17" s="17"/>
    </row>
    <row r="18" spans="2:6" x14ac:dyDescent="0.25">
      <c r="B18" s="14"/>
      <c r="C18" s="14"/>
      <c r="D18" s="16"/>
      <c r="E18" s="16"/>
      <c r="F18" s="17"/>
    </row>
    <row r="19" spans="2:6" x14ac:dyDescent="0.25">
      <c r="B19" s="14"/>
      <c r="C19" s="14"/>
      <c r="D19" s="16"/>
      <c r="E19" s="16"/>
      <c r="F19" s="17"/>
    </row>
    <row r="20" spans="2:6" x14ac:dyDescent="0.25">
      <c r="B20" s="14"/>
      <c r="C20" s="14"/>
      <c r="D20" s="16"/>
      <c r="E20" s="16"/>
      <c r="F20" s="17"/>
    </row>
    <row r="21" spans="2:6" x14ac:dyDescent="0.25">
      <c r="B21" s="14"/>
      <c r="C21" s="14"/>
      <c r="D21" s="16"/>
      <c r="E21" s="16"/>
      <c r="F21" s="17"/>
    </row>
    <row r="22" spans="2:6" x14ac:dyDescent="0.25">
      <c r="B22" s="14"/>
      <c r="C22" s="14"/>
      <c r="D22" s="16"/>
      <c r="E22" s="16"/>
      <c r="F22" s="17"/>
    </row>
    <row r="23" spans="2:6" x14ac:dyDescent="0.25">
      <c r="B23" s="14"/>
      <c r="C23" s="14"/>
      <c r="D23" s="16"/>
      <c r="E23" s="16"/>
      <c r="F23" s="17"/>
    </row>
    <row r="24" spans="2:6" x14ac:dyDescent="0.25">
      <c r="B24" s="14"/>
      <c r="C24" s="14"/>
      <c r="D24" s="16"/>
      <c r="E24" s="16"/>
      <c r="F24" s="17"/>
    </row>
    <row r="25" spans="2:6" x14ac:dyDescent="0.25">
      <c r="B25" s="14"/>
      <c r="C25" s="14"/>
      <c r="D25" s="16"/>
      <c r="E25" s="16"/>
      <c r="F25" s="17"/>
    </row>
    <row r="26" spans="2:6" x14ac:dyDescent="0.25">
      <c r="B26" s="14"/>
      <c r="C26" s="14"/>
      <c r="D26" s="16"/>
      <c r="E26" s="16"/>
      <c r="F26" s="17"/>
    </row>
    <row r="27" spans="2:6" x14ac:dyDescent="0.25">
      <c r="B27" s="14"/>
      <c r="C27" s="14"/>
      <c r="D27" s="16"/>
      <c r="E27" s="16"/>
      <c r="F27" s="17"/>
    </row>
    <row r="28" spans="2:6" x14ac:dyDescent="0.25">
      <c r="B28" s="14"/>
      <c r="C28" s="14"/>
      <c r="D28" s="16"/>
      <c r="E28" s="16"/>
      <c r="F28" s="17"/>
    </row>
    <row r="29" spans="2:6" x14ac:dyDescent="0.25">
      <c r="B29" s="14"/>
      <c r="C29" s="14"/>
      <c r="D29" s="16"/>
      <c r="E29" s="16"/>
      <c r="F29" s="17"/>
    </row>
    <row r="30" spans="2:6" x14ac:dyDescent="0.25">
      <c r="B30" s="14"/>
      <c r="C30" s="14"/>
      <c r="D30" s="16"/>
      <c r="E30" s="79"/>
      <c r="F30" s="17"/>
    </row>
    <row r="31" spans="2:6" x14ac:dyDescent="0.25">
      <c r="B31" s="70"/>
      <c r="C31" s="81"/>
      <c r="D31" s="79"/>
      <c r="E31" s="79"/>
      <c r="F31" s="82"/>
    </row>
    <row r="32" spans="2:6" x14ac:dyDescent="0.25">
      <c r="B32" s="70"/>
      <c r="C32" s="81"/>
      <c r="D32" s="81"/>
      <c r="E32" s="81"/>
      <c r="F32" s="82"/>
    </row>
    <row r="33" spans="2:6" x14ac:dyDescent="0.25">
      <c r="B33" s="70"/>
      <c r="C33" s="81"/>
      <c r="D33" s="79"/>
      <c r="E33" s="79"/>
      <c r="F33" s="82"/>
    </row>
    <row r="34" spans="2:6" x14ac:dyDescent="0.25">
      <c r="B34" s="70"/>
      <c r="C34" s="81"/>
      <c r="D34" s="81"/>
      <c r="E34" s="81"/>
      <c r="F34" s="82"/>
    </row>
    <row r="35" spans="2:6" x14ac:dyDescent="0.25">
      <c r="B35" s="14"/>
      <c r="C35" s="14"/>
      <c r="D35" s="16"/>
      <c r="E35" s="79"/>
      <c r="F35" s="1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6"/>
  <sheetViews>
    <sheetView tabSelected="1" topLeftCell="H1" zoomScale="80" zoomScaleNormal="80" workbookViewId="0">
      <selection activeCell="Z4" sqref="Z4"/>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12" style="30" customWidth="1"/>
    <col min="12" max="12" width="16.710937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75" thickBot="1" x14ac:dyDescent="0.25">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8" thickBot="1" x14ac:dyDescent="0.25">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191.25" x14ac:dyDescent="0.2">
      <c r="A4" s="32">
        <v>43964</v>
      </c>
      <c r="B4" s="24">
        <v>15.4</v>
      </c>
      <c r="C4" s="75"/>
      <c r="D4" s="75"/>
      <c r="E4" s="44"/>
      <c r="F4" s="75"/>
      <c r="G4" s="75"/>
      <c r="H4" s="75"/>
      <c r="I4" s="75"/>
      <c r="J4" s="75"/>
      <c r="K4" s="75"/>
      <c r="L4" s="75"/>
      <c r="M4" s="75" t="s">
        <v>73</v>
      </c>
      <c r="N4" s="33" t="s">
        <v>32</v>
      </c>
      <c r="O4" s="34" t="s">
        <v>6</v>
      </c>
      <c r="P4" s="36">
        <v>100</v>
      </c>
      <c r="Q4" s="22"/>
      <c r="R4" s="22" t="s">
        <v>74</v>
      </c>
      <c r="S4" s="22" t="s">
        <v>75</v>
      </c>
      <c r="T4" s="53">
        <v>1</v>
      </c>
      <c r="U4" s="23" t="s">
        <v>76</v>
      </c>
      <c r="V4" s="23">
        <v>6</v>
      </c>
      <c r="W4" s="23"/>
      <c r="X4" s="25" t="s">
        <v>77</v>
      </c>
      <c r="Y4" s="35"/>
      <c r="Z4" s="22" t="s">
        <v>78</v>
      </c>
    </row>
    <row r="5" spans="1:26" ht="25.5" x14ac:dyDescent="0.2">
      <c r="A5" s="32">
        <v>43964</v>
      </c>
      <c r="B5" s="24">
        <v>15.4</v>
      </c>
      <c r="C5" s="10"/>
      <c r="D5" s="10"/>
      <c r="E5" s="45"/>
      <c r="F5" s="10"/>
      <c r="G5" s="10"/>
      <c r="H5" s="10"/>
      <c r="I5" s="10"/>
      <c r="J5" s="10"/>
      <c r="K5" s="10"/>
      <c r="L5" s="10"/>
      <c r="M5" s="40" t="s">
        <v>79</v>
      </c>
      <c r="N5" s="23" t="s">
        <v>32</v>
      </c>
      <c r="O5" s="39" t="s">
        <v>6</v>
      </c>
      <c r="P5" s="36">
        <v>100</v>
      </c>
      <c r="Q5" s="36"/>
      <c r="R5" s="22" t="s">
        <v>80</v>
      </c>
      <c r="S5" s="22" t="s">
        <v>81</v>
      </c>
      <c r="T5" s="53">
        <v>7</v>
      </c>
      <c r="U5" s="23" t="s">
        <v>76</v>
      </c>
      <c r="V5" s="23">
        <v>18</v>
      </c>
      <c r="W5" s="23"/>
      <c r="X5" s="25" t="s">
        <v>82</v>
      </c>
      <c r="Y5" s="35"/>
      <c r="Z5" s="22" t="s">
        <v>83</v>
      </c>
    </row>
    <row r="6" spans="1:26" ht="30" x14ac:dyDescent="0.2">
      <c r="A6" s="32">
        <v>43964</v>
      </c>
      <c r="B6" s="24">
        <v>15.4</v>
      </c>
      <c r="C6" s="10"/>
      <c r="D6" s="10"/>
      <c r="E6" s="44"/>
      <c r="F6" s="19"/>
      <c r="G6" s="19"/>
      <c r="H6" s="20"/>
      <c r="I6" s="10"/>
      <c r="J6" s="10"/>
      <c r="K6" s="19"/>
      <c r="L6" s="19"/>
      <c r="M6" s="76" t="s">
        <v>84</v>
      </c>
      <c r="N6" s="23" t="s">
        <v>32</v>
      </c>
      <c r="O6" s="39" t="s">
        <v>6</v>
      </c>
      <c r="P6" s="36">
        <v>100</v>
      </c>
      <c r="Q6" s="36"/>
      <c r="R6" s="22" t="s">
        <v>85</v>
      </c>
      <c r="S6" s="22" t="s">
        <v>86</v>
      </c>
      <c r="T6" s="53">
        <v>25</v>
      </c>
      <c r="U6" s="23" t="s">
        <v>76</v>
      </c>
      <c r="V6" s="23">
        <v>3</v>
      </c>
      <c r="W6" s="23"/>
      <c r="X6" s="25" t="s">
        <v>77</v>
      </c>
      <c r="Y6" s="22"/>
      <c r="Z6" s="22" t="s">
        <v>87</v>
      </c>
    </row>
    <row r="7" spans="1:26" ht="30" x14ac:dyDescent="0.2">
      <c r="A7" s="32">
        <v>43964</v>
      </c>
      <c r="B7" s="24">
        <v>15.4</v>
      </c>
      <c r="C7" s="10"/>
      <c r="D7" s="10"/>
      <c r="E7" s="10"/>
      <c r="F7" s="10"/>
      <c r="G7" s="10"/>
      <c r="H7" s="26"/>
      <c r="I7" s="26"/>
      <c r="J7" s="26"/>
      <c r="K7" s="26"/>
      <c r="L7" s="19"/>
      <c r="M7" s="19" t="s">
        <v>88</v>
      </c>
      <c r="N7" s="23" t="s">
        <v>32</v>
      </c>
      <c r="O7" s="39" t="s">
        <v>6</v>
      </c>
      <c r="P7" s="36">
        <v>100</v>
      </c>
      <c r="Q7" s="36"/>
      <c r="R7" s="22" t="s">
        <v>89</v>
      </c>
      <c r="S7" s="22" t="s">
        <v>90</v>
      </c>
      <c r="T7" s="53">
        <v>28</v>
      </c>
      <c r="U7" s="23" t="s">
        <v>91</v>
      </c>
      <c r="V7" s="23">
        <v>8</v>
      </c>
      <c r="W7" s="23" t="s">
        <v>92</v>
      </c>
      <c r="X7" s="25" t="s">
        <v>77</v>
      </c>
      <c r="Y7" s="35"/>
      <c r="Z7" s="22"/>
    </row>
    <row r="8" spans="1:26" ht="165" x14ac:dyDescent="0.2">
      <c r="A8" s="32">
        <v>43964</v>
      </c>
      <c r="B8" s="24">
        <v>15.4</v>
      </c>
      <c r="C8" s="35"/>
      <c r="D8" s="35"/>
      <c r="E8" s="44"/>
      <c r="F8" s="10"/>
      <c r="G8" s="35"/>
      <c r="H8" s="20"/>
      <c r="I8" s="10"/>
      <c r="J8" s="10"/>
      <c r="K8" s="19"/>
      <c r="L8" s="19"/>
      <c r="M8" s="19" t="s">
        <v>93</v>
      </c>
      <c r="N8" s="23" t="s">
        <v>32</v>
      </c>
      <c r="O8" s="39" t="s">
        <v>6</v>
      </c>
      <c r="P8" s="36">
        <v>100</v>
      </c>
      <c r="Q8" s="36"/>
      <c r="R8" s="22" t="s">
        <v>94</v>
      </c>
      <c r="S8" s="22" t="s">
        <v>95</v>
      </c>
      <c r="T8" s="53">
        <v>36</v>
      </c>
      <c r="U8" s="23" t="s">
        <v>96</v>
      </c>
      <c r="V8" s="23">
        <v>40</v>
      </c>
      <c r="W8" s="23" t="s">
        <v>97</v>
      </c>
      <c r="X8" s="25" t="s">
        <v>77</v>
      </c>
      <c r="Y8" s="35"/>
      <c r="Z8" s="22" t="s">
        <v>98</v>
      </c>
    </row>
    <row r="9" spans="1:26" x14ac:dyDescent="0.2">
      <c r="A9" s="26"/>
      <c r="B9" s="26"/>
      <c r="C9" s="26"/>
      <c r="D9" s="26"/>
      <c r="E9" s="26"/>
      <c r="F9" s="26"/>
      <c r="G9" s="26"/>
      <c r="H9" s="26"/>
      <c r="I9" s="26"/>
      <c r="J9" s="26"/>
      <c r="K9" s="28"/>
      <c r="L9" s="28"/>
      <c r="M9" s="28"/>
      <c r="N9" s="26"/>
      <c r="O9" s="26"/>
      <c r="P9" s="28"/>
      <c r="Q9" s="28"/>
      <c r="R9" s="28"/>
      <c r="S9" s="28"/>
      <c r="T9" s="60"/>
      <c r="U9" s="26"/>
      <c r="V9" s="26"/>
      <c r="W9" s="26"/>
      <c r="X9" s="20"/>
      <c r="Y9" s="26"/>
      <c r="Z9" s="26"/>
    </row>
    <row r="10" spans="1:26" x14ac:dyDescent="0.2">
      <c r="A10" s="26"/>
      <c r="B10" s="26"/>
      <c r="C10" s="26"/>
      <c r="D10" s="26"/>
      <c r="E10" s="26"/>
      <c r="F10" s="26"/>
      <c r="G10" s="26"/>
      <c r="H10" s="26"/>
      <c r="I10" s="26"/>
      <c r="J10" s="26"/>
      <c r="K10" s="28"/>
      <c r="L10" s="28"/>
      <c r="M10" s="28"/>
      <c r="N10" s="26"/>
      <c r="O10" s="26"/>
      <c r="P10" s="28"/>
      <c r="Q10" s="28"/>
      <c r="R10" s="28"/>
      <c r="S10" s="28"/>
      <c r="T10" s="60"/>
      <c r="U10" s="26"/>
      <c r="V10" s="26"/>
      <c r="W10" s="26"/>
      <c r="X10" s="20"/>
      <c r="Y10" s="26"/>
      <c r="Z10" s="26"/>
    </row>
    <row r="11" spans="1:26" x14ac:dyDescent="0.2">
      <c r="A11" s="26"/>
      <c r="B11" s="26"/>
      <c r="C11" s="26"/>
      <c r="D11" s="26"/>
      <c r="E11" s="26"/>
      <c r="F11" s="26"/>
      <c r="G11" s="26"/>
      <c r="H11" s="26"/>
      <c r="I11" s="26"/>
      <c r="J11" s="26"/>
      <c r="K11" s="28"/>
      <c r="L11" s="28"/>
      <c r="M11" s="28"/>
      <c r="N11" s="26"/>
      <c r="O11" s="26"/>
      <c r="P11" s="28"/>
      <c r="Q11" s="28"/>
      <c r="R11" s="28"/>
      <c r="S11" s="28"/>
      <c r="T11" s="60"/>
      <c r="U11" s="26"/>
      <c r="V11" s="26"/>
      <c r="W11" s="26"/>
      <c r="X11" s="20"/>
      <c r="Y11" s="26"/>
      <c r="Z11" s="26"/>
    </row>
    <row r="12" spans="1:26" x14ac:dyDescent="0.2">
      <c r="A12" s="26"/>
      <c r="B12" s="26"/>
      <c r="C12" s="26"/>
      <c r="D12" s="26"/>
      <c r="E12" s="26"/>
      <c r="F12" s="26"/>
      <c r="G12" s="26"/>
      <c r="H12" s="26"/>
      <c r="I12" s="26"/>
      <c r="J12" s="26"/>
      <c r="K12" s="28"/>
      <c r="L12" s="28"/>
      <c r="M12" s="28"/>
      <c r="N12" s="26"/>
      <c r="O12" s="26"/>
      <c r="P12" s="28"/>
      <c r="Q12" s="28"/>
      <c r="R12" s="28"/>
      <c r="S12" s="28"/>
      <c r="T12" s="60"/>
      <c r="U12" s="26"/>
      <c r="V12" s="26"/>
      <c r="W12" s="26"/>
      <c r="X12" s="20"/>
      <c r="Y12" s="26"/>
      <c r="Z12" s="26"/>
    </row>
    <row r="13" spans="1:26" x14ac:dyDescent="0.2">
      <c r="A13" s="26"/>
      <c r="B13" s="26"/>
      <c r="C13" s="26"/>
      <c r="D13" s="26"/>
      <c r="E13" s="26"/>
      <c r="F13" s="26"/>
      <c r="G13" s="26"/>
      <c r="H13" s="26"/>
      <c r="I13" s="26"/>
      <c r="J13" s="26"/>
      <c r="K13" s="28"/>
      <c r="L13" s="28"/>
      <c r="M13" s="28"/>
      <c r="N13" s="26"/>
      <c r="O13" s="26"/>
      <c r="P13" s="28"/>
      <c r="Q13" s="28"/>
      <c r="R13" s="28"/>
      <c r="S13" s="28"/>
      <c r="T13" s="60"/>
      <c r="U13" s="26"/>
      <c r="V13" s="26"/>
      <c r="W13" s="26"/>
      <c r="X13" s="20"/>
      <c r="Y13" s="26"/>
      <c r="Z13" s="26"/>
    </row>
    <row r="14" spans="1:26" x14ac:dyDescent="0.2">
      <c r="A14" s="26"/>
      <c r="B14" s="26"/>
      <c r="C14" s="26"/>
      <c r="D14" s="26"/>
      <c r="E14" s="26"/>
      <c r="F14" s="26"/>
      <c r="G14" s="26"/>
      <c r="H14" s="26"/>
      <c r="I14" s="26"/>
      <c r="J14" s="26"/>
      <c r="K14" s="28"/>
      <c r="L14" s="28"/>
      <c r="M14" s="28"/>
      <c r="N14" s="26"/>
      <c r="O14" s="26"/>
      <c r="P14" s="28"/>
      <c r="Q14" s="28"/>
      <c r="R14" s="28"/>
      <c r="S14" s="28"/>
      <c r="T14" s="60"/>
      <c r="U14" s="26"/>
      <c r="V14" s="26"/>
      <c r="W14" s="26"/>
      <c r="X14" s="20"/>
      <c r="Y14" s="26"/>
      <c r="Z14" s="26"/>
    </row>
    <row r="15" spans="1:26" x14ac:dyDescent="0.2">
      <c r="A15" s="26"/>
      <c r="B15" s="26"/>
      <c r="C15" s="26"/>
      <c r="D15" s="26"/>
      <c r="E15" s="26"/>
      <c r="F15" s="26"/>
      <c r="G15" s="26"/>
      <c r="H15" s="26"/>
      <c r="I15" s="26"/>
      <c r="J15" s="26"/>
      <c r="K15" s="28"/>
      <c r="L15" s="28"/>
      <c r="M15" s="28"/>
      <c r="N15" s="26"/>
      <c r="O15" s="26"/>
      <c r="P15" s="28"/>
      <c r="Q15" s="28"/>
      <c r="R15" s="28"/>
      <c r="S15" s="28"/>
      <c r="T15" s="60"/>
      <c r="U15" s="26"/>
      <c r="V15" s="26"/>
      <c r="W15" s="26"/>
      <c r="X15" s="20"/>
      <c r="Y15" s="26"/>
      <c r="Z15" s="26"/>
    </row>
    <row r="16" spans="1:26" x14ac:dyDescent="0.2">
      <c r="A16" s="26"/>
      <c r="B16" s="26"/>
      <c r="C16" s="26"/>
      <c r="D16" s="26"/>
      <c r="E16" s="26"/>
      <c r="F16" s="26"/>
      <c r="G16" s="26"/>
      <c r="H16" s="26"/>
      <c r="I16" s="26"/>
      <c r="J16" s="26"/>
      <c r="K16" s="28"/>
      <c r="L16" s="28"/>
      <c r="M16" s="28"/>
      <c r="N16" s="26"/>
      <c r="O16" s="26"/>
      <c r="P16" s="28"/>
      <c r="Q16" s="28"/>
      <c r="R16" s="28"/>
      <c r="S16" s="28"/>
      <c r="T16" s="60"/>
      <c r="U16" s="26"/>
      <c r="V16" s="26"/>
      <c r="W16" s="26"/>
      <c r="X16" s="20"/>
      <c r="Y16" s="26"/>
      <c r="Z16" s="26"/>
    </row>
    <row r="17" spans="1:26" x14ac:dyDescent="0.2">
      <c r="A17" s="26"/>
      <c r="B17" s="26"/>
      <c r="C17" s="26"/>
      <c r="D17" s="26"/>
      <c r="E17" s="26"/>
      <c r="F17" s="26"/>
      <c r="G17" s="26"/>
      <c r="H17" s="26"/>
      <c r="I17" s="26"/>
      <c r="J17" s="26"/>
      <c r="K17" s="28"/>
      <c r="L17" s="28"/>
      <c r="M17" s="28"/>
      <c r="N17" s="26"/>
      <c r="O17" s="26"/>
      <c r="P17" s="28"/>
      <c r="Q17" s="28"/>
      <c r="R17" s="28"/>
      <c r="S17" s="28"/>
      <c r="T17" s="60"/>
      <c r="U17" s="26"/>
      <c r="V17" s="26"/>
      <c r="W17" s="26"/>
      <c r="X17" s="20"/>
      <c r="Y17" s="26"/>
      <c r="Z17" s="26"/>
    </row>
    <row r="18" spans="1:26" x14ac:dyDescent="0.2">
      <c r="A18" s="26"/>
      <c r="B18" s="26"/>
      <c r="C18" s="26"/>
      <c r="D18" s="26"/>
      <c r="E18" s="26"/>
      <c r="F18" s="26"/>
      <c r="G18" s="26"/>
      <c r="H18" s="26"/>
      <c r="I18" s="26"/>
      <c r="J18" s="26"/>
      <c r="K18" s="28"/>
      <c r="L18" s="28"/>
      <c r="M18" s="28"/>
      <c r="N18" s="26"/>
      <c r="O18" s="26"/>
      <c r="P18" s="28"/>
      <c r="Q18" s="28"/>
      <c r="R18" s="28"/>
      <c r="S18" s="28"/>
      <c r="T18" s="60"/>
      <c r="U18" s="26"/>
      <c r="V18" s="26"/>
      <c r="W18" s="26"/>
      <c r="X18" s="20"/>
      <c r="Y18" s="26"/>
      <c r="Z18" s="26"/>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M1:M2"/>
    <mergeCell ref="N1:Z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6"/>
  <sheetViews>
    <sheetView zoomScale="80" zoomScaleNormal="80" workbookViewId="0">
      <pane ySplit="3" topLeftCell="A10" activePane="bottomLeft" state="frozen"/>
      <selection pane="bottomLeft" activeCell="L10" sqref="L10"/>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12" style="30" customWidth="1"/>
    <col min="12" max="12" width="16.710937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 x14ac:dyDescent="0.2">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7.25" x14ac:dyDescent="0.2">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30" x14ac:dyDescent="0.2">
      <c r="A4" s="32">
        <v>43964</v>
      </c>
      <c r="B4" s="24">
        <v>15.4</v>
      </c>
      <c r="C4" s="75"/>
      <c r="D4" s="75"/>
      <c r="E4" s="44"/>
      <c r="F4" s="75"/>
      <c r="G4" s="75"/>
      <c r="H4" s="75"/>
      <c r="I4" s="75"/>
      <c r="J4" s="75"/>
      <c r="K4" s="75"/>
      <c r="L4" s="75"/>
      <c r="M4" s="72" t="s">
        <v>99</v>
      </c>
      <c r="N4" s="23" t="s">
        <v>32</v>
      </c>
      <c r="O4" s="39" t="s">
        <v>6</v>
      </c>
      <c r="P4" s="36">
        <v>200</v>
      </c>
      <c r="Q4" s="36"/>
      <c r="R4" s="22" t="s">
        <v>74</v>
      </c>
      <c r="S4" s="22" t="s">
        <v>75</v>
      </c>
      <c r="T4" s="53">
        <v>1</v>
      </c>
      <c r="U4" s="23" t="s">
        <v>76</v>
      </c>
      <c r="V4" s="23">
        <v>6</v>
      </c>
      <c r="W4" s="23"/>
      <c r="X4" s="25" t="s">
        <v>77</v>
      </c>
      <c r="Y4" s="25"/>
      <c r="Z4" s="22"/>
    </row>
    <row r="5" spans="1:26" ht="191.25" x14ac:dyDescent="0.2">
      <c r="A5" s="32">
        <v>44075</v>
      </c>
      <c r="B5" s="24">
        <v>17</v>
      </c>
      <c r="C5" s="10" t="s">
        <v>100</v>
      </c>
      <c r="D5" s="75" t="s">
        <v>101</v>
      </c>
      <c r="E5" s="45" t="s">
        <v>102</v>
      </c>
      <c r="F5" s="10" t="s">
        <v>103</v>
      </c>
      <c r="G5" s="10" t="s">
        <v>76</v>
      </c>
      <c r="H5" s="77" t="s">
        <v>104</v>
      </c>
      <c r="I5" s="10">
        <v>17</v>
      </c>
      <c r="J5" s="10" t="s">
        <v>105</v>
      </c>
      <c r="K5" s="26"/>
      <c r="L5" s="75"/>
      <c r="M5" s="50" t="s">
        <v>106</v>
      </c>
      <c r="N5" s="23" t="s">
        <v>32</v>
      </c>
      <c r="O5" s="39" t="s">
        <v>6</v>
      </c>
      <c r="P5" s="36">
        <v>200</v>
      </c>
      <c r="Q5" s="36"/>
      <c r="R5" s="22" t="s">
        <v>80</v>
      </c>
      <c r="S5" s="22" t="s">
        <v>81</v>
      </c>
      <c r="T5" s="53">
        <v>7</v>
      </c>
      <c r="U5" s="23" t="s">
        <v>76</v>
      </c>
      <c r="V5" s="23">
        <v>18</v>
      </c>
      <c r="W5" s="23"/>
      <c r="X5" s="25" t="s">
        <v>77</v>
      </c>
      <c r="Y5" s="25"/>
      <c r="Z5" s="22"/>
    </row>
    <row r="6" spans="1:26" ht="30" x14ac:dyDescent="0.2">
      <c r="A6" s="32">
        <v>43964</v>
      </c>
      <c r="B6" s="24">
        <v>15.4</v>
      </c>
      <c r="C6" s="10"/>
      <c r="D6" s="10"/>
      <c r="E6" s="44"/>
      <c r="F6" s="19"/>
      <c r="G6" s="19"/>
      <c r="H6" s="19"/>
      <c r="I6" s="20"/>
      <c r="J6" s="20"/>
      <c r="K6" s="10"/>
      <c r="L6" s="19"/>
      <c r="M6" s="76" t="s">
        <v>107</v>
      </c>
      <c r="N6" s="23" t="s">
        <v>32</v>
      </c>
      <c r="O6" s="39" t="s">
        <v>6</v>
      </c>
      <c r="P6" s="36">
        <v>200</v>
      </c>
      <c r="Q6" s="36"/>
      <c r="R6" s="22" t="s">
        <v>85</v>
      </c>
      <c r="S6" s="22" t="s">
        <v>86</v>
      </c>
      <c r="T6" s="53">
        <v>25</v>
      </c>
      <c r="U6" s="23" t="s">
        <v>76</v>
      </c>
      <c r="V6" s="23">
        <v>3</v>
      </c>
      <c r="W6" s="23"/>
      <c r="X6" s="25" t="s">
        <v>77</v>
      </c>
      <c r="Y6" s="25"/>
      <c r="Z6" s="22" t="s">
        <v>108</v>
      </c>
    </row>
    <row r="7" spans="1:26" ht="63.75" x14ac:dyDescent="0.2">
      <c r="A7" s="32">
        <v>43964</v>
      </c>
      <c r="B7" s="24">
        <v>15.4</v>
      </c>
      <c r="C7" s="10" t="s">
        <v>100</v>
      </c>
      <c r="D7" s="75" t="s">
        <v>109</v>
      </c>
      <c r="E7" s="45" t="s">
        <v>110</v>
      </c>
      <c r="F7" s="10" t="s">
        <v>111</v>
      </c>
      <c r="G7" s="10" t="s">
        <v>112</v>
      </c>
      <c r="H7" s="10" t="s">
        <v>113</v>
      </c>
      <c r="I7" s="10"/>
      <c r="J7" s="10" t="s">
        <v>105</v>
      </c>
      <c r="K7" s="10"/>
      <c r="L7" s="19"/>
      <c r="M7" s="19"/>
      <c r="N7" s="23" t="s">
        <v>32</v>
      </c>
      <c r="O7" s="39" t="s">
        <v>6</v>
      </c>
      <c r="P7" s="36">
        <v>200</v>
      </c>
      <c r="Q7" s="36"/>
      <c r="R7" s="22" t="s">
        <v>89</v>
      </c>
      <c r="S7" s="22" t="s">
        <v>90</v>
      </c>
      <c r="T7" s="53">
        <v>28</v>
      </c>
      <c r="U7" s="23" t="s">
        <v>91</v>
      </c>
      <c r="V7" s="23">
        <v>8</v>
      </c>
      <c r="W7" s="23" t="s">
        <v>92</v>
      </c>
      <c r="X7" s="25" t="s">
        <v>77</v>
      </c>
      <c r="Y7" s="25"/>
      <c r="Z7" s="22"/>
    </row>
    <row r="8" spans="1:26" ht="178.5" x14ac:dyDescent="0.2">
      <c r="A8" s="32">
        <v>43964</v>
      </c>
      <c r="B8" s="24">
        <v>15.4</v>
      </c>
      <c r="C8" s="35"/>
      <c r="D8" s="44" t="s">
        <v>114</v>
      </c>
      <c r="E8" s="44"/>
      <c r="F8" s="35"/>
      <c r="G8" s="35"/>
      <c r="H8" s="35"/>
      <c r="I8" s="20"/>
      <c r="J8" s="20"/>
      <c r="K8" s="20"/>
      <c r="L8" s="40"/>
      <c r="M8" s="19" t="s">
        <v>115</v>
      </c>
      <c r="N8" s="23" t="s">
        <v>32</v>
      </c>
      <c r="O8" s="39" t="s">
        <v>6</v>
      </c>
      <c r="P8" s="36">
        <v>200</v>
      </c>
      <c r="Q8" s="36"/>
      <c r="R8" s="22" t="s">
        <v>25</v>
      </c>
      <c r="S8" s="22" t="s">
        <v>116</v>
      </c>
      <c r="T8" s="53">
        <v>36</v>
      </c>
      <c r="U8" s="23" t="s">
        <v>76</v>
      </c>
      <c r="V8" s="23">
        <v>1</v>
      </c>
      <c r="W8" s="23"/>
      <c r="X8" s="25" t="s">
        <v>77</v>
      </c>
      <c r="Y8" s="25" t="s">
        <v>117</v>
      </c>
      <c r="Z8" s="22"/>
    </row>
    <row r="9" spans="1:26" ht="135" x14ac:dyDescent="0.2">
      <c r="A9" s="32">
        <v>43964</v>
      </c>
      <c r="B9" s="24">
        <v>15.4</v>
      </c>
      <c r="C9" s="35"/>
      <c r="D9" s="35"/>
      <c r="E9" s="44"/>
      <c r="F9" s="35"/>
      <c r="G9" s="35"/>
      <c r="H9" s="35"/>
      <c r="I9" s="20"/>
      <c r="J9" s="20"/>
      <c r="K9" s="20"/>
      <c r="L9" s="19"/>
      <c r="M9" s="19" t="s">
        <v>118</v>
      </c>
      <c r="N9" s="23" t="s">
        <v>32</v>
      </c>
      <c r="O9" s="39" t="s">
        <v>6</v>
      </c>
      <c r="P9" s="36">
        <v>200</v>
      </c>
      <c r="Q9" s="36"/>
      <c r="R9" s="22" t="s">
        <v>119</v>
      </c>
      <c r="S9" s="22" t="s">
        <v>120</v>
      </c>
      <c r="T9" s="53">
        <v>37</v>
      </c>
      <c r="U9" s="23" t="s">
        <v>76</v>
      </c>
      <c r="V9" s="23">
        <v>6</v>
      </c>
      <c r="W9" s="46"/>
      <c r="X9" s="37" t="s">
        <v>82</v>
      </c>
      <c r="Y9" s="37"/>
      <c r="Z9" s="22" t="s">
        <v>121</v>
      </c>
    </row>
    <row r="10" spans="1:26" ht="120" x14ac:dyDescent="0.2">
      <c r="A10" s="32">
        <v>43964</v>
      </c>
      <c r="B10" s="24">
        <v>15.4</v>
      </c>
      <c r="C10" s="10" t="s">
        <v>122</v>
      </c>
      <c r="D10" s="52" t="s">
        <v>123</v>
      </c>
      <c r="E10" s="10" t="s">
        <v>124</v>
      </c>
      <c r="F10" s="10" t="s">
        <v>125</v>
      </c>
      <c r="G10" s="19" t="s">
        <v>76</v>
      </c>
      <c r="H10" s="19" t="s">
        <v>126</v>
      </c>
      <c r="I10" s="19" t="s">
        <v>127</v>
      </c>
      <c r="J10" s="20"/>
      <c r="K10" s="20"/>
      <c r="L10" s="75"/>
      <c r="M10" s="83" t="s">
        <v>128</v>
      </c>
      <c r="N10" s="23" t="s">
        <v>32</v>
      </c>
      <c r="O10" s="39" t="s">
        <v>6</v>
      </c>
      <c r="P10" s="36">
        <v>200</v>
      </c>
      <c r="Q10" s="36"/>
      <c r="R10" s="22" t="s">
        <v>129</v>
      </c>
      <c r="S10" s="22" t="s">
        <v>130</v>
      </c>
      <c r="T10" s="53">
        <v>43</v>
      </c>
      <c r="U10" s="23" t="s">
        <v>76</v>
      </c>
      <c r="V10" s="23">
        <v>18</v>
      </c>
      <c r="W10" s="23"/>
      <c r="X10" s="25" t="s">
        <v>82</v>
      </c>
      <c r="Y10" s="25"/>
      <c r="Z10" s="22" t="s">
        <v>121</v>
      </c>
    </row>
    <row r="11" spans="1:26" ht="165" x14ac:dyDescent="0.2">
      <c r="A11" s="32">
        <v>43964</v>
      </c>
      <c r="B11" s="24">
        <v>15.4</v>
      </c>
      <c r="C11" s="10" t="s">
        <v>122</v>
      </c>
      <c r="D11" s="52" t="s">
        <v>123</v>
      </c>
      <c r="E11" s="10" t="s">
        <v>124</v>
      </c>
      <c r="F11" s="10" t="s">
        <v>125</v>
      </c>
      <c r="G11" s="19" t="s">
        <v>76</v>
      </c>
      <c r="H11" s="19" t="s">
        <v>126</v>
      </c>
      <c r="I11" s="19" t="s">
        <v>127</v>
      </c>
      <c r="J11" s="20"/>
      <c r="K11" s="20"/>
      <c r="L11" s="75"/>
      <c r="M11" s="84" t="s">
        <v>131</v>
      </c>
      <c r="N11" s="23" t="s">
        <v>32</v>
      </c>
      <c r="O11" s="39" t="s">
        <v>6</v>
      </c>
      <c r="P11" s="36">
        <v>200</v>
      </c>
      <c r="Q11" s="36"/>
      <c r="R11" s="22" t="s">
        <v>132</v>
      </c>
      <c r="S11" s="22" t="s">
        <v>133</v>
      </c>
      <c r="T11" s="53">
        <v>61</v>
      </c>
      <c r="U11" s="23" t="s">
        <v>76</v>
      </c>
      <c r="V11" s="23">
        <v>24</v>
      </c>
      <c r="W11" s="23"/>
      <c r="X11" s="25" t="s">
        <v>82</v>
      </c>
      <c r="Y11" s="25"/>
      <c r="Z11" s="22" t="s">
        <v>121</v>
      </c>
    </row>
    <row r="12" spans="1:26" x14ac:dyDescent="0.2">
      <c r="A12" s="26"/>
      <c r="B12" s="26"/>
      <c r="C12" s="26"/>
      <c r="D12" s="26"/>
      <c r="E12" s="26"/>
      <c r="F12" s="26"/>
      <c r="G12" s="26"/>
      <c r="H12" s="26"/>
      <c r="I12" s="26"/>
      <c r="J12" s="26"/>
      <c r="K12" s="28"/>
      <c r="L12" s="28"/>
      <c r="M12" s="28"/>
      <c r="N12" s="26"/>
      <c r="O12" s="26"/>
      <c r="P12" s="28"/>
      <c r="Q12" s="28"/>
      <c r="R12" s="28"/>
      <c r="S12" s="28"/>
      <c r="T12" s="60"/>
      <c r="U12" s="26"/>
      <c r="V12" s="26"/>
      <c r="W12" s="26"/>
      <c r="X12" s="20"/>
      <c r="Y12" s="26"/>
      <c r="Z12" s="26"/>
    </row>
    <row r="13" spans="1:26" x14ac:dyDescent="0.2">
      <c r="A13" s="26"/>
      <c r="B13" s="26"/>
      <c r="C13" s="26"/>
      <c r="D13" s="26"/>
      <c r="E13" s="26"/>
      <c r="F13" s="26"/>
      <c r="G13" s="26"/>
      <c r="H13" s="26"/>
      <c r="I13" s="26"/>
      <c r="J13" s="26"/>
      <c r="K13" s="28"/>
      <c r="L13" s="28"/>
      <c r="M13" s="28"/>
      <c r="N13" s="26"/>
      <c r="O13" s="26"/>
      <c r="P13" s="28"/>
      <c r="Q13" s="28"/>
      <c r="R13" s="28"/>
      <c r="S13" s="28"/>
      <c r="T13" s="60"/>
      <c r="U13" s="26"/>
      <c r="V13" s="26"/>
      <c r="W13" s="26"/>
      <c r="X13" s="20"/>
      <c r="Y13" s="26"/>
      <c r="Z13" s="26"/>
    </row>
    <row r="14" spans="1:26" x14ac:dyDescent="0.2">
      <c r="A14" s="26"/>
      <c r="B14" s="26"/>
      <c r="C14" s="26"/>
      <c r="D14" s="26"/>
      <c r="E14" s="26"/>
      <c r="F14" s="26"/>
      <c r="G14" s="26"/>
      <c r="H14" s="26"/>
      <c r="I14" s="26"/>
      <c r="J14" s="26"/>
      <c r="K14" s="28"/>
      <c r="L14" s="28"/>
      <c r="M14" s="28"/>
      <c r="N14" s="26"/>
      <c r="O14" s="26"/>
      <c r="P14" s="28"/>
      <c r="Q14" s="28"/>
      <c r="R14" s="28"/>
      <c r="S14" s="28"/>
      <c r="T14" s="60"/>
      <c r="U14" s="26"/>
      <c r="V14" s="26"/>
      <c r="W14" s="26"/>
      <c r="X14" s="20"/>
      <c r="Y14" s="26"/>
      <c r="Z14" s="26"/>
    </row>
    <row r="15" spans="1:26" x14ac:dyDescent="0.2">
      <c r="A15" s="26"/>
      <c r="B15" s="26"/>
      <c r="C15" s="26"/>
      <c r="D15" s="26"/>
      <c r="E15" s="26"/>
      <c r="F15" s="26"/>
      <c r="G15" s="26"/>
      <c r="H15" s="26"/>
      <c r="I15" s="26"/>
      <c r="J15" s="26"/>
      <c r="K15" s="28"/>
      <c r="L15" s="28"/>
      <c r="M15" s="28"/>
      <c r="N15" s="26"/>
      <c r="O15" s="26"/>
      <c r="P15" s="28"/>
      <c r="Q15" s="28"/>
      <c r="R15" s="28"/>
      <c r="S15" s="28"/>
      <c r="T15" s="60"/>
      <c r="U15" s="26"/>
      <c r="V15" s="26"/>
      <c r="W15" s="26"/>
      <c r="X15" s="20"/>
      <c r="Y15" s="26"/>
      <c r="Z15" s="26"/>
    </row>
    <row r="16" spans="1:26" x14ac:dyDescent="0.2">
      <c r="A16" s="26"/>
      <c r="B16" s="26"/>
      <c r="C16" s="26"/>
      <c r="D16" s="26"/>
      <c r="E16" s="26"/>
      <c r="F16" s="26"/>
      <c r="G16" s="26"/>
      <c r="H16" s="26"/>
      <c r="I16" s="26"/>
      <c r="J16" s="26"/>
      <c r="K16" s="28"/>
      <c r="L16" s="28"/>
      <c r="M16" s="28"/>
      <c r="N16" s="26"/>
      <c r="O16" s="26"/>
      <c r="P16" s="28"/>
      <c r="Q16" s="28"/>
      <c r="R16" s="28"/>
      <c r="S16" s="28"/>
      <c r="T16" s="60"/>
      <c r="U16" s="26"/>
      <c r="V16" s="26"/>
      <c r="W16" s="26"/>
      <c r="X16" s="20"/>
      <c r="Y16" s="26"/>
      <c r="Z16" s="26"/>
    </row>
    <row r="17" spans="1:26" x14ac:dyDescent="0.2">
      <c r="A17" s="26"/>
      <c r="B17" s="26"/>
      <c r="C17" s="26"/>
      <c r="D17" s="26"/>
      <c r="E17" s="26"/>
      <c r="F17" s="26"/>
      <c r="G17" s="26"/>
      <c r="H17" s="26"/>
      <c r="I17" s="26"/>
      <c r="J17" s="26"/>
      <c r="K17" s="28"/>
      <c r="L17" s="28"/>
      <c r="M17" s="28"/>
      <c r="N17" s="26"/>
      <c r="O17" s="26"/>
      <c r="P17" s="28"/>
      <c r="Q17" s="28"/>
      <c r="R17" s="28"/>
      <c r="S17" s="28"/>
      <c r="T17" s="60"/>
      <c r="U17" s="26"/>
      <c r="V17" s="26"/>
      <c r="W17" s="26"/>
      <c r="X17" s="20"/>
      <c r="Y17" s="26"/>
      <c r="Z17" s="26"/>
    </row>
    <row r="18" spans="1:26" x14ac:dyDescent="0.2">
      <c r="A18" s="26"/>
      <c r="B18" s="26"/>
      <c r="C18" s="26"/>
      <c r="D18" s="26"/>
      <c r="E18" s="26"/>
      <c r="F18" s="26"/>
      <c r="G18" s="26"/>
      <c r="H18" s="26"/>
      <c r="I18" s="26"/>
      <c r="J18" s="26"/>
      <c r="K18" s="28"/>
      <c r="L18" s="28"/>
      <c r="M18" s="28"/>
      <c r="N18" s="26"/>
      <c r="O18" s="26"/>
      <c r="P18" s="28"/>
      <c r="Q18" s="28"/>
      <c r="R18" s="28"/>
      <c r="S18" s="28"/>
      <c r="T18" s="60"/>
      <c r="U18" s="26"/>
      <c r="V18" s="26"/>
      <c r="W18" s="26"/>
      <c r="X18" s="20"/>
      <c r="Y18" s="26"/>
      <c r="Z18" s="26"/>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N1:Z1"/>
    <mergeCell ref="M1:M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6"/>
  <sheetViews>
    <sheetView zoomScale="80" zoomScaleNormal="80" workbookViewId="0">
      <pane ySplit="3" topLeftCell="A8" activePane="bottomLeft" state="frozen"/>
      <selection pane="bottomLeft" activeCell="Y10" sqref="Y10"/>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12" style="30" customWidth="1"/>
    <col min="12" max="12" width="16.710937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75" thickBot="1" x14ac:dyDescent="0.25">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8" thickBot="1" x14ac:dyDescent="0.25">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38.25" x14ac:dyDescent="0.2">
      <c r="A4" s="32">
        <v>43965</v>
      </c>
      <c r="B4" s="24">
        <v>15.4</v>
      </c>
      <c r="C4" s="10" t="s">
        <v>100</v>
      </c>
      <c r="D4" s="10" t="s">
        <v>134</v>
      </c>
      <c r="E4" s="44" t="s">
        <v>135</v>
      </c>
      <c r="F4" s="75" t="s">
        <v>136</v>
      </c>
      <c r="G4" s="75" t="s">
        <v>137</v>
      </c>
      <c r="H4" s="75">
        <v>56</v>
      </c>
      <c r="I4" s="75">
        <v>4</v>
      </c>
      <c r="J4" s="75"/>
      <c r="K4" s="75"/>
      <c r="L4" s="75"/>
      <c r="M4" s="72" t="s">
        <v>138</v>
      </c>
      <c r="N4" s="23" t="s">
        <v>32</v>
      </c>
      <c r="O4" s="39" t="s">
        <v>6</v>
      </c>
      <c r="P4" s="36">
        <v>300</v>
      </c>
      <c r="Q4" s="36"/>
      <c r="R4" s="19" t="s">
        <v>74</v>
      </c>
      <c r="S4" s="19" t="s">
        <v>75</v>
      </c>
      <c r="T4" s="54">
        <v>1</v>
      </c>
      <c r="U4" s="23" t="s">
        <v>76</v>
      </c>
      <c r="V4" s="23">
        <v>6</v>
      </c>
      <c r="W4" s="23"/>
      <c r="X4" s="25" t="s">
        <v>77</v>
      </c>
      <c r="Y4" s="25"/>
      <c r="Z4" s="22"/>
    </row>
    <row r="5" spans="1:26" ht="150.75" customHeight="1" x14ac:dyDescent="0.2">
      <c r="A5" s="32">
        <v>44075</v>
      </c>
      <c r="B5" s="24">
        <v>17</v>
      </c>
      <c r="C5" s="10" t="s">
        <v>100</v>
      </c>
      <c r="D5" s="10" t="s">
        <v>134</v>
      </c>
      <c r="E5" s="45" t="s">
        <v>139</v>
      </c>
      <c r="F5" s="10" t="s">
        <v>140</v>
      </c>
      <c r="G5" s="10" t="s">
        <v>141</v>
      </c>
      <c r="H5" s="10"/>
      <c r="I5" s="10" t="s">
        <v>142</v>
      </c>
      <c r="J5" s="10"/>
      <c r="K5" s="10"/>
      <c r="L5" s="10"/>
      <c r="M5" s="48" t="s">
        <v>143</v>
      </c>
      <c r="N5" s="23" t="s">
        <v>32</v>
      </c>
      <c r="O5" s="39" t="s">
        <v>6</v>
      </c>
      <c r="P5" s="36">
        <v>300</v>
      </c>
      <c r="Q5" s="36"/>
      <c r="R5" s="19" t="s">
        <v>80</v>
      </c>
      <c r="S5" s="19" t="s">
        <v>81</v>
      </c>
      <c r="T5" s="54">
        <v>7</v>
      </c>
      <c r="U5" s="23" t="s">
        <v>76</v>
      </c>
      <c r="V5" s="23">
        <v>18</v>
      </c>
      <c r="W5" s="23"/>
      <c r="X5" s="25" t="s">
        <v>77</v>
      </c>
      <c r="Y5" s="25"/>
      <c r="Z5" s="22"/>
    </row>
    <row r="6" spans="1:26" ht="38.25" customHeight="1" x14ac:dyDescent="0.2">
      <c r="A6" s="32">
        <v>43965</v>
      </c>
      <c r="B6" s="24">
        <v>15.4</v>
      </c>
      <c r="C6" s="10"/>
      <c r="D6" s="10"/>
      <c r="E6" s="45"/>
      <c r="F6" s="10"/>
      <c r="G6" s="10"/>
      <c r="H6" s="10"/>
      <c r="I6" s="10"/>
      <c r="J6" s="10"/>
      <c r="K6" s="10"/>
      <c r="L6" s="75"/>
      <c r="M6" s="10" t="s">
        <v>144</v>
      </c>
      <c r="N6" s="23" t="s">
        <v>32</v>
      </c>
      <c r="O6" s="39" t="s">
        <v>6</v>
      </c>
      <c r="P6" s="36">
        <v>300</v>
      </c>
      <c r="Q6" s="36"/>
      <c r="R6" s="19" t="s">
        <v>85</v>
      </c>
      <c r="S6" s="19" t="s">
        <v>86</v>
      </c>
      <c r="T6" s="54">
        <v>25</v>
      </c>
      <c r="U6" s="23" t="s">
        <v>76</v>
      </c>
      <c r="V6" s="23">
        <v>3</v>
      </c>
      <c r="W6" s="23"/>
      <c r="X6" s="25" t="s">
        <v>77</v>
      </c>
      <c r="Y6" s="25"/>
      <c r="Z6" s="22" t="s">
        <v>145</v>
      </c>
    </row>
    <row r="7" spans="1:26" ht="51" x14ac:dyDescent="0.2">
      <c r="A7" s="32">
        <v>45586</v>
      </c>
      <c r="B7" s="24">
        <v>2024.21</v>
      </c>
      <c r="C7" s="10" t="s">
        <v>100</v>
      </c>
      <c r="D7" s="10" t="s">
        <v>134</v>
      </c>
      <c r="E7" s="10" t="s">
        <v>146</v>
      </c>
      <c r="F7" s="10" t="s">
        <v>147</v>
      </c>
      <c r="G7" s="10" t="s">
        <v>148</v>
      </c>
      <c r="H7" s="10">
        <v>21</v>
      </c>
      <c r="I7" s="20">
        <v>4</v>
      </c>
      <c r="J7" s="20"/>
      <c r="K7" s="10"/>
      <c r="L7" s="19" t="s">
        <v>149</v>
      </c>
      <c r="M7" s="19" t="s">
        <v>150</v>
      </c>
      <c r="N7" s="23" t="s">
        <v>32</v>
      </c>
      <c r="O7" s="39" t="s">
        <v>6</v>
      </c>
      <c r="P7" s="36">
        <v>300</v>
      </c>
      <c r="Q7" s="36"/>
      <c r="R7" s="19" t="s">
        <v>89</v>
      </c>
      <c r="S7" s="19" t="s">
        <v>90</v>
      </c>
      <c r="T7" s="54">
        <v>28</v>
      </c>
      <c r="U7" s="23" t="s">
        <v>91</v>
      </c>
      <c r="V7" s="23">
        <v>8</v>
      </c>
      <c r="W7" s="23" t="s">
        <v>92</v>
      </c>
      <c r="X7" s="25" t="s">
        <v>77</v>
      </c>
      <c r="Y7" s="25"/>
      <c r="Z7" s="22"/>
    </row>
    <row r="8" spans="1:26" ht="409.5" x14ac:dyDescent="0.2">
      <c r="A8" s="32">
        <v>45586</v>
      </c>
      <c r="B8" s="24">
        <v>2024.21</v>
      </c>
      <c r="C8" s="10" t="s">
        <v>100</v>
      </c>
      <c r="D8" s="10" t="s">
        <v>134</v>
      </c>
      <c r="E8" s="10" t="s">
        <v>151</v>
      </c>
      <c r="F8" s="10" t="s">
        <v>152</v>
      </c>
      <c r="G8" s="10" t="s">
        <v>153</v>
      </c>
      <c r="H8" s="10" t="s">
        <v>154</v>
      </c>
      <c r="I8" s="28" t="s">
        <v>155</v>
      </c>
      <c r="J8" s="26"/>
      <c r="K8" s="26"/>
      <c r="L8" s="19" t="s">
        <v>149</v>
      </c>
      <c r="M8" s="19" t="s">
        <v>156</v>
      </c>
      <c r="N8" s="23" t="s">
        <v>32</v>
      </c>
      <c r="O8" s="39" t="s">
        <v>6</v>
      </c>
      <c r="P8" s="36">
        <v>300</v>
      </c>
      <c r="Q8" s="36"/>
      <c r="R8" s="19" t="s">
        <v>157</v>
      </c>
      <c r="S8" s="19" t="s">
        <v>158</v>
      </c>
      <c r="T8" s="54">
        <v>36</v>
      </c>
      <c r="U8" s="23" t="s">
        <v>96</v>
      </c>
      <c r="V8" s="23">
        <v>18</v>
      </c>
      <c r="W8" s="23" t="s">
        <v>159</v>
      </c>
      <c r="X8" s="25" t="s">
        <v>77</v>
      </c>
      <c r="Y8" s="25"/>
      <c r="Z8" s="22"/>
    </row>
    <row r="9" spans="1:26" ht="76.5" x14ac:dyDescent="0.2">
      <c r="A9" s="32">
        <v>43965</v>
      </c>
      <c r="B9" s="24">
        <v>15.4</v>
      </c>
      <c r="C9" s="10"/>
      <c r="D9" s="10"/>
      <c r="E9" s="10"/>
      <c r="F9" s="10"/>
      <c r="G9" s="10"/>
      <c r="H9" s="10"/>
      <c r="I9" s="28"/>
      <c r="J9" s="35"/>
      <c r="K9" s="35"/>
      <c r="L9" s="36"/>
      <c r="M9" s="40" t="s">
        <v>160</v>
      </c>
      <c r="N9" s="23" t="s">
        <v>32</v>
      </c>
      <c r="O9" s="39" t="s">
        <v>6</v>
      </c>
      <c r="P9" s="36">
        <v>300</v>
      </c>
      <c r="Q9" s="36"/>
      <c r="R9" s="19" t="s">
        <v>161</v>
      </c>
      <c r="S9" s="19" t="s">
        <v>162</v>
      </c>
      <c r="T9" s="54">
        <v>54</v>
      </c>
      <c r="U9" s="23" t="s">
        <v>96</v>
      </c>
      <c r="V9" s="23">
        <v>2</v>
      </c>
      <c r="W9" s="23" t="s">
        <v>163</v>
      </c>
      <c r="X9" s="37" t="s">
        <v>82</v>
      </c>
      <c r="Y9" s="37"/>
      <c r="Z9" s="22"/>
    </row>
    <row r="10" spans="1:26" ht="135" x14ac:dyDescent="0.2">
      <c r="A10" s="32">
        <v>43965</v>
      </c>
      <c r="B10" s="24">
        <v>15.4</v>
      </c>
      <c r="C10" s="10" t="s">
        <v>100</v>
      </c>
      <c r="D10" s="10" t="s">
        <v>134</v>
      </c>
      <c r="E10" s="10" t="s">
        <v>164</v>
      </c>
      <c r="F10" s="10" t="s">
        <v>165</v>
      </c>
      <c r="G10" s="10" t="s">
        <v>166</v>
      </c>
      <c r="H10" s="10" t="s">
        <v>167</v>
      </c>
      <c r="I10" s="28" t="s">
        <v>168</v>
      </c>
      <c r="J10" s="20"/>
      <c r="K10" s="10"/>
      <c r="L10" s="19"/>
      <c r="M10" s="39" t="s">
        <v>169</v>
      </c>
      <c r="N10" s="23" t="s">
        <v>32</v>
      </c>
      <c r="O10" s="39" t="s">
        <v>6</v>
      </c>
      <c r="P10" s="36">
        <v>300</v>
      </c>
      <c r="Q10" s="36"/>
      <c r="R10" s="19" t="s">
        <v>170</v>
      </c>
      <c r="S10" s="19" t="s">
        <v>171</v>
      </c>
      <c r="T10" s="54">
        <v>56</v>
      </c>
      <c r="U10" s="23" t="s">
        <v>76</v>
      </c>
      <c r="V10" s="23">
        <v>1</v>
      </c>
      <c r="W10" s="23"/>
      <c r="X10" s="25" t="s">
        <v>77</v>
      </c>
      <c r="Y10" s="41" t="s">
        <v>172</v>
      </c>
      <c r="Z10" s="22"/>
    </row>
    <row r="11" spans="1:26" ht="69" customHeight="1" x14ac:dyDescent="0.2">
      <c r="A11" s="32">
        <v>43965</v>
      </c>
      <c r="B11" s="24">
        <v>15.4</v>
      </c>
      <c r="C11" s="35"/>
      <c r="D11" s="35"/>
      <c r="E11" s="42"/>
      <c r="F11" s="35"/>
      <c r="G11" s="35"/>
      <c r="H11" s="35"/>
      <c r="I11" s="35"/>
      <c r="J11" s="35"/>
      <c r="K11" s="35"/>
      <c r="L11" s="36"/>
      <c r="M11" s="40" t="s">
        <v>173</v>
      </c>
      <c r="N11" s="23" t="s">
        <v>32</v>
      </c>
      <c r="O11" s="39" t="s">
        <v>6</v>
      </c>
      <c r="P11" s="36">
        <v>300</v>
      </c>
      <c r="Q11" s="36"/>
      <c r="R11" s="19" t="s">
        <v>174</v>
      </c>
      <c r="S11" s="19" t="s">
        <v>175</v>
      </c>
      <c r="T11" s="54">
        <v>57</v>
      </c>
      <c r="U11" s="23" t="s">
        <v>76</v>
      </c>
      <c r="V11" s="23">
        <v>8</v>
      </c>
      <c r="W11" s="23"/>
      <c r="X11" s="25" t="s">
        <v>82</v>
      </c>
      <c r="Y11" s="25"/>
      <c r="Z11" s="22"/>
    </row>
    <row r="12" spans="1:26" ht="165.75" x14ac:dyDescent="0.2">
      <c r="A12" s="32">
        <v>43965</v>
      </c>
      <c r="B12" s="24">
        <v>15.4</v>
      </c>
      <c r="C12" s="35"/>
      <c r="D12" s="35"/>
      <c r="E12" s="42"/>
      <c r="F12" s="35"/>
      <c r="G12" s="35"/>
      <c r="H12" s="35"/>
      <c r="I12" s="35"/>
      <c r="J12" s="35"/>
      <c r="K12" s="35"/>
      <c r="L12" s="36"/>
      <c r="M12" s="40" t="s">
        <v>176</v>
      </c>
      <c r="N12" s="23" t="s">
        <v>32</v>
      </c>
      <c r="O12" s="39" t="s">
        <v>6</v>
      </c>
      <c r="P12" s="36">
        <v>300</v>
      </c>
      <c r="Q12" s="36"/>
      <c r="R12" s="19" t="s">
        <v>177</v>
      </c>
      <c r="S12" s="19" t="s">
        <v>178</v>
      </c>
      <c r="T12" s="54">
        <v>65</v>
      </c>
      <c r="U12" s="23" t="s">
        <v>96</v>
      </c>
      <c r="V12" s="23">
        <v>18</v>
      </c>
      <c r="W12" s="23" t="s">
        <v>159</v>
      </c>
      <c r="X12" s="25" t="s">
        <v>82</v>
      </c>
      <c r="Y12" s="25"/>
      <c r="Z12" s="22"/>
    </row>
    <row r="13" spans="1:26" ht="75" x14ac:dyDescent="0.2">
      <c r="A13" s="32">
        <v>43965</v>
      </c>
      <c r="B13" s="24">
        <v>15.4</v>
      </c>
      <c r="C13" s="10"/>
      <c r="D13" s="10"/>
      <c r="E13" s="10"/>
      <c r="F13" s="10"/>
      <c r="G13" s="10"/>
      <c r="H13" s="10"/>
      <c r="I13" s="10"/>
      <c r="J13" s="10"/>
      <c r="K13" s="10"/>
      <c r="L13" s="42"/>
      <c r="M13" s="40" t="s">
        <v>173</v>
      </c>
      <c r="N13" s="23" t="s">
        <v>32</v>
      </c>
      <c r="O13" s="39" t="s">
        <v>6</v>
      </c>
      <c r="P13" s="36">
        <v>300</v>
      </c>
      <c r="Q13" s="36"/>
      <c r="R13" s="19" t="s">
        <v>179</v>
      </c>
      <c r="S13" s="19" t="s">
        <v>180</v>
      </c>
      <c r="T13" s="54">
        <v>83</v>
      </c>
      <c r="U13" s="23" t="s">
        <v>76</v>
      </c>
      <c r="V13" s="23">
        <v>25</v>
      </c>
      <c r="W13" s="23"/>
      <c r="X13" s="25" t="s">
        <v>82</v>
      </c>
      <c r="Y13" s="25"/>
      <c r="Z13" s="53" t="s">
        <v>181</v>
      </c>
    </row>
    <row r="14" spans="1:26" ht="60" x14ac:dyDescent="0.2">
      <c r="A14" s="32">
        <v>43965</v>
      </c>
      <c r="B14" s="24">
        <v>15.4</v>
      </c>
      <c r="C14" s="10"/>
      <c r="D14" s="10"/>
      <c r="E14" s="10"/>
      <c r="F14" s="10"/>
      <c r="G14" s="10"/>
      <c r="H14" s="10"/>
      <c r="I14" s="10"/>
      <c r="J14" s="10"/>
      <c r="K14" s="35"/>
      <c r="L14" s="42"/>
      <c r="M14" s="40" t="s">
        <v>173</v>
      </c>
      <c r="N14" s="23" t="s">
        <v>32</v>
      </c>
      <c r="O14" s="39" t="s">
        <v>6</v>
      </c>
      <c r="P14" s="36">
        <v>300</v>
      </c>
      <c r="Q14" s="36"/>
      <c r="R14" s="19" t="s">
        <v>182</v>
      </c>
      <c r="S14" s="19" t="s">
        <v>183</v>
      </c>
      <c r="T14" s="54">
        <v>108</v>
      </c>
      <c r="U14" s="23" t="s">
        <v>76</v>
      </c>
      <c r="V14" s="23">
        <v>10</v>
      </c>
      <c r="W14" s="23"/>
      <c r="X14" s="25" t="s">
        <v>82</v>
      </c>
      <c r="Y14" s="25"/>
      <c r="Z14" s="53" t="s">
        <v>184</v>
      </c>
    </row>
    <row r="15" spans="1:26" ht="195" x14ac:dyDescent="0.2">
      <c r="A15" s="32">
        <v>43965</v>
      </c>
      <c r="B15" s="24">
        <v>15.4</v>
      </c>
      <c r="C15" s="35"/>
      <c r="D15" s="35"/>
      <c r="E15" s="42"/>
      <c r="F15" s="35"/>
      <c r="G15" s="35"/>
      <c r="H15" s="35"/>
      <c r="I15" s="35"/>
      <c r="J15" s="35"/>
      <c r="K15" s="35"/>
      <c r="L15" s="36"/>
      <c r="M15" s="40" t="s">
        <v>173</v>
      </c>
      <c r="N15" s="23" t="s">
        <v>32</v>
      </c>
      <c r="O15" s="39" t="s">
        <v>6</v>
      </c>
      <c r="P15" s="36">
        <v>300</v>
      </c>
      <c r="Q15" s="36"/>
      <c r="R15" s="19" t="s">
        <v>185</v>
      </c>
      <c r="S15" s="19" t="s">
        <v>186</v>
      </c>
      <c r="T15" s="54">
        <v>118</v>
      </c>
      <c r="U15" s="23" t="s">
        <v>76</v>
      </c>
      <c r="V15" s="23">
        <v>1</v>
      </c>
      <c r="W15" s="23"/>
      <c r="X15" s="25" t="s">
        <v>82</v>
      </c>
      <c r="Y15" s="41" t="s">
        <v>187</v>
      </c>
      <c r="Z15" s="22"/>
    </row>
    <row r="16" spans="1:26" ht="76.5" x14ac:dyDescent="0.2">
      <c r="A16" s="32">
        <v>43965</v>
      </c>
      <c r="B16" s="24">
        <v>15.4</v>
      </c>
      <c r="C16" s="35"/>
      <c r="D16" s="35"/>
      <c r="E16" s="42"/>
      <c r="F16" s="35"/>
      <c r="G16" s="35"/>
      <c r="H16" s="35"/>
      <c r="I16" s="35"/>
      <c r="J16" s="35"/>
      <c r="K16" s="35"/>
      <c r="L16" s="36"/>
      <c r="M16" s="40" t="s">
        <v>173</v>
      </c>
      <c r="N16" s="23" t="s">
        <v>32</v>
      </c>
      <c r="O16" s="39" t="s">
        <v>6</v>
      </c>
      <c r="P16" s="36">
        <v>300</v>
      </c>
      <c r="Q16" s="36"/>
      <c r="R16" s="19" t="s">
        <v>188</v>
      </c>
      <c r="S16" s="19" t="s">
        <v>189</v>
      </c>
      <c r="T16" s="54">
        <v>119</v>
      </c>
      <c r="U16" s="23" t="s">
        <v>76</v>
      </c>
      <c r="V16" s="23">
        <v>1</v>
      </c>
      <c r="W16" s="23"/>
      <c r="X16" s="25" t="s">
        <v>82</v>
      </c>
      <c r="Y16" s="41" t="s">
        <v>190</v>
      </c>
      <c r="Z16" s="22"/>
    </row>
    <row r="17" spans="1:26" ht="89.25" x14ac:dyDescent="0.2">
      <c r="A17" s="32">
        <v>43965</v>
      </c>
      <c r="B17" s="24">
        <v>15.4</v>
      </c>
      <c r="C17" s="35"/>
      <c r="D17" s="35"/>
      <c r="E17" s="42"/>
      <c r="F17" s="35"/>
      <c r="G17" s="35"/>
      <c r="H17" s="35"/>
      <c r="I17" s="35"/>
      <c r="J17" s="35"/>
      <c r="K17" s="35"/>
      <c r="L17" s="36"/>
      <c r="M17" s="40" t="s">
        <v>191</v>
      </c>
      <c r="N17" s="23" t="s">
        <v>32</v>
      </c>
      <c r="O17" s="39" t="s">
        <v>6</v>
      </c>
      <c r="P17" s="36">
        <v>300</v>
      </c>
      <c r="Q17" s="36"/>
      <c r="R17" s="19" t="s">
        <v>192</v>
      </c>
      <c r="S17" s="19" t="s">
        <v>193</v>
      </c>
      <c r="T17" s="54">
        <v>120</v>
      </c>
      <c r="U17" s="23" t="s">
        <v>96</v>
      </c>
      <c r="V17" s="23">
        <v>3</v>
      </c>
      <c r="W17" s="23" t="s">
        <v>194</v>
      </c>
      <c r="X17" s="25" t="s">
        <v>82</v>
      </c>
      <c r="Y17" s="25"/>
      <c r="Z17" s="22"/>
    </row>
    <row r="18" spans="1:26" ht="127.5" x14ac:dyDescent="0.2">
      <c r="A18" s="32">
        <v>43965</v>
      </c>
      <c r="B18" s="24">
        <v>15.4</v>
      </c>
      <c r="C18" s="35"/>
      <c r="D18" s="35"/>
      <c r="E18" s="42"/>
      <c r="F18" s="35"/>
      <c r="G18" s="35"/>
      <c r="H18" s="35"/>
      <c r="I18" s="35"/>
      <c r="J18" s="35"/>
      <c r="K18" s="35"/>
      <c r="L18" s="36"/>
      <c r="M18" s="40" t="s">
        <v>173</v>
      </c>
      <c r="N18" s="23" t="s">
        <v>32</v>
      </c>
      <c r="O18" s="39" t="s">
        <v>6</v>
      </c>
      <c r="P18" s="36">
        <v>300</v>
      </c>
      <c r="Q18" s="36"/>
      <c r="R18" s="19" t="s">
        <v>195</v>
      </c>
      <c r="S18" s="19" t="s">
        <v>196</v>
      </c>
      <c r="T18" s="54">
        <v>123</v>
      </c>
      <c r="U18" s="23" t="s">
        <v>76</v>
      </c>
      <c r="V18" s="23">
        <v>3</v>
      </c>
      <c r="W18" s="23"/>
      <c r="X18" s="25" t="s">
        <v>82</v>
      </c>
      <c r="Y18" s="25"/>
      <c r="Z18" s="22"/>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M1:M2"/>
    <mergeCell ref="N1: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6"/>
  <sheetViews>
    <sheetView zoomScale="80" zoomScaleNormal="80" workbookViewId="0">
      <pane ySplit="3" topLeftCell="A4" activePane="bottomLeft" state="frozen"/>
      <selection pane="bottomLeft" activeCell="M5" sqref="M5"/>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12" style="30" customWidth="1"/>
    <col min="12" max="12" width="27.4257812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75" thickBot="1" x14ac:dyDescent="0.25">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8" thickBot="1" x14ac:dyDescent="0.25">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153" x14ac:dyDescent="0.2">
      <c r="A4" s="32">
        <v>43969</v>
      </c>
      <c r="B4" s="24">
        <v>15.4</v>
      </c>
      <c r="C4" s="75"/>
      <c r="D4" s="75"/>
      <c r="E4" s="44"/>
      <c r="F4" s="75"/>
      <c r="G4" s="75"/>
      <c r="H4" s="75"/>
      <c r="I4" s="75"/>
      <c r="J4" s="75"/>
      <c r="K4" s="75"/>
      <c r="L4" s="75"/>
      <c r="M4" s="75" t="s">
        <v>197</v>
      </c>
      <c r="N4" s="23" t="s">
        <v>32</v>
      </c>
      <c r="O4" s="39" t="s">
        <v>6</v>
      </c>
      <c r="P4" s="36">
        <v>500</v>
      </c>
      <c r="Q4" s="36"/>
      <c r="R4" s="22" t="s">
        <v>74</v>
      </c>
      <c r="S4" s="22" t="s">
        <v>75</v>
      </c>
      <c r="T4" s="53">
        <v>1</v>
      </c>
      <c r="U4" s="23" t="s">
        <v>76</v>
      </c>
      <c r="V4" s="23">
        <v>6</v>
      </c>
      <c r="W4" s="23"/>
      <c r="X4" s="25" t="s">
        <v>77</v>
      </c>
      <c r="Y4" s="25"/>
      <c r="Z4" s="22"/>
    </row>
    <row r="5" spans="1:26" ht="150.75" customHeight="1" x14ac:dyDescent="0.2">
      <c r="A5" s="32">
        <v>43969</v>
      </c>
      <c r="B5" s="24">
        <v>15.4</v>
      </c>
      <c r="C5" s="10"/>
      <c r="D5" s="10"/>
      <c r="E5" s="45"/>
      <c r="F5" s="10"/>
      <c r="G5" s="10"/>
      <c r="H5" s="10"/>
      <c r="I5" s="10"/>
      <c r="J5" s="10"/>
      <c r="K5" s="10"/>
      <c r="L5" s="75"/>
      <c r="M5" s="48" t="s">
        <v>198</v>
      </c>
      <c r="N5" s="23" t="s">
        <v>32</v>
      </c>
      <c r="O5" s="39" t="s">
        <v>6</v>
      </c>
      <c r="P5" s="36">
        <v>500</v>
      </c>
      <c r="Q5" s="36"/>
      <c r="R5" s="22" t="s">
        <v>80</v>
      </c>
      <c r="S5" s="22" t="s">
        <v>81</v>
      </c>
      <c r="T5" s="53">
        <v>7</v>
      </c>
      <c r="U5" s="23" t="s">
        <v>76</v>
      </c>
      <c r="V5" s="23">
        <v>18</v>
      </c>
      <c r="W5" s="23"/>
      <c r="X5" s="25" t="s">
        <v>77</v>
      </c>
      <c r="Y5" s="25"/>
      <c r="Z5" s="22"/>
    </row>
    <row r="6" spans="1:26" ht="30" x14ac:dyDescent="0.2">
      <c r="A6" s="32">
        <v>43969</v>
      </c>
      <c r="B6" s="24">
        <v>15.4</v>
      </c>
      <c r="C6" s="10"/>
      <c r="D6" s="10"/>
      <c r="E6" s="44"/>
      <c r="F6" s="19"/>
      <c r="G6" s="19"/>
      <c r="H6" s="19"/>
      <c r="I6" s="20"/>
      <c r="J6" s="20"/>
      <c r="K6" s="10"/>
      <c r="L6" s="48"/>
      <c r="M6" s="31" t="s">
        <v>199</v>
      </c>
      <c r="N6" s="23" t="s">
        <v>32</v>
      </c>
      <c r="O6" s="39" t="s">
        <v>6</v>
      </c>
      <c r="P6" s="36">
        <v>500</v>
      </c>
      <c r="Q6" s="36"/>
      <c r="R6" s="22" t="s">
        <v>85</v>
      </c>
      <c r="S6" s="22" t="s">
        <v>86</v>
      </c>
      <c r="T6" s="53">
        <v>25</v>
      </c>
      <c r="U6" s="23" t="s">
        <v>76</v>
      </c>
      <c r="V6" s="23">
        <v>3</v>
      </c>
      <c r="W6" s="23"/>
      <c r="X6" s="25" t="s">
        <v>77</v>
      </c>
      <c r="Y6" s="25"/>
      <c r="Z6" s="22" t="s">
        <v>200</v>
      </c>
    </row>
    <row r="7" spans="1:26" ht="30" x14ac:dyDescent="0.2">
      <c r="A7" s="32">
        <v>43969</v>
      </c>
      <c r="B7" s="24">
        <v>15.4</v>
      </c>
      <c r="C7" s="10"/>
      <c r="D7" s="10"/>
      <c r="E7" s="10"/>
      <c r="F7" s="10"/>
      <c r="G7" s="10"/>
      <c r="H7" s="10"/>
      <c r="I7" s="20"/>
      <c r="J7" s="20"/>
      <c r="K7" s="10"/>
      <c r="L7" s="75"/>
      <c r="M7" s="48"/>
      <c r="N7" s="23" t="s">
        <v>32</v>
      </c>
      <c r="O7" s="39" t="s">
        <v>6</v>
      </c>
      <c r="P7" s="36">
        <v>500</v>
      </c>
      <c r="Q7" s="36"/>
      <c r="R7" s="22" t="s">
        <v>89</v>
      </c>
      <c r="S7" s="22" t="s">
        <v>90</v>
      </c>
      <c r="T7" s="53">
        <v>28</v>
      </c>
      <c r="U7" s="23" t="s">
        <v>91</v>
      </c>
      <c r="V7" s="23">
        <v>8</v>
      </c>
      <c r="W7" s="23" t="s">
        <v>92</v>
      </c>
      <c r="X7" s="25" t="s">
        <v>77</v>
      </c>
      <c r="Y7" s="25"/>
      <c r="Z7" s="22"/>
    </row>
    <row r="8" spans="1:26" ht="69" customHeight="1" x14ac:dyDescent="0.2">
      <c r="A8" s="32">
        <v>43969</v>
      </c>
      <c r="B8" s="24">
        <v>15.4</v>
      </c>
      <c r="C8" s="35"/>
      <c r="D8" s="35"/>
      <c r="E8" s="42"/>
      <c r="F8" s="35"/>
      <c r="G8" s="35"/>
      <c r="H8" s="35"/>
      <c r="I8" s="35"/>
      <c r="J8" s="35"/>
      <c r="K8" s="35"/>
      <c r="L8" s="36"/>
      <c r="M8" s="36" t="s">
        <v>201</v>
      </c>
      <c r="N8" s="23" t="s">
        <v>32</v>
      </c>
      <c r="O8" s="39" t="s">
        <v>6</v>
      </c>
      <c r="P8" s="36">
        <v>500</v>
      </c>
      <c r="Q8" s="36"/>
      <c r="R8" s="22" t="s">
        <v>202</v>
      </c>
      <c r="S8" s="22" t="s">
        <v>203</v>
      </c>
      <c r="T8" s="53">
        <v>36</v>
      </c>
      <c r="U8" s="23" t="s">
        <v>76</v>
      </c>
      <c r="V8" s="23">
        <v>1</v>
      </c>
      <c r="W8" s="23"/>
      <c r="X8" s="25" t="s">
        <v>77</v>
      </c>
      <c r="Y8" s="25" t="s">
        <v>204</v>
      </c>
      <c r="Z8" s="22"/>
    </row>
    <row r="9" spans="1:26" ht="90" x14ac:dyDescent="0.2">
      <c r="A9" s="32">
        <v>43969</v>
      </c>
      <c r="B9" s="24">
        <v>15.4</v>
      </c>
      <c r="C9" s="10"/>
      <c r="D9" s="10"/>
      <c r="E9" s="45"/>
      <c r="F9" s="10"/>
      <c r="G9" s="10"/>
      <c r="H9" s="10"/>
      <c r="I9" s="10"/>
      <c r="J9" s="10"/>
      <c r="K9" s="10"/>
      <c r="L9" s="36" t="s">
        <v>205</v>
      </c>
      <c r="M9" s="40" t="s">
        <v>206</v>
      </c>
      <c r="N9" s="23" t="s">
        <v>32</v>
      </c>
      <c r="O9" s="39" t="s">
        <v>6</v>
      </c>
      <c r="P9" s="36">
        <v>500</v>
      </c>
      <c r="Q9" s="36"/>
      <c r="R9" s="22" t="s">
        <v>207</v>
      </c>
      <c r="S9" s="22" t="s">
        <v>208</v>
      </c>
      <c r="T9" s="53">
        <v>37</v>
      </c>
      <c r="U9" s="23" t="s">
        <v>96</v>
      </c>
      <c r="V9" s="23">
        <v>12</v>
      </c>
      <c r="W9" s="23" t="s">
        <v>209</v>
      </c>
      <c r="X9" s="37" t="s">
        <v>82</v>
      </c>
      <c r="Y9" s="37"/>
      <c r="Z9" s="22"/>
    </row>
    <row r="10" spans="1:26" ht="15" x14ac:dyDescent="0.2">
      <c r="A10" s="32"/>
      <c r="B10" s="24"/>
      <c r="C10" s="10"/>
      <c r="D10" s="10"/>
      <c r="E10" s="10"/>
      <c r="F10" s="19"/>
      <c r="G10" s="19"/>
      <c r="H10" s="19"/>
      <c r="I10" s="20"/>
      <c r="J10" s="20"/>
      <c r="K10" s="10"/>
      <c r="L10" s="19"/>
      <c r="M10" s="39"/>
      <c r="N10" s="23"/>
      <c r="O10" s="39"/>
      <c r="P10" s="36"/>
      <c r="Q10" s="36"/>
      <c r="R10" s="19"/>
      <c r="S10" s="19"/>
      <c r="T10" s="54"/>
      <c r="U10" s="23"/>
      <c r="V10" s="23"/>
      <c r="W10" s="23"/>
      <c r="X10" s="25"/>
      <c r="Y10" s="41"/>
      <c r="Z10" s="22"/>
    </row>
    <row r="11" spans="1:26" ht="15" x14ac:dyDescent="0.2">
      <c r="A11" s="32"/>
      <c r="B11" s="24"/>
      <c r="C11" s="35"/>
      <c r="D11" s="35"/>
      <c r="E11" s="42"/>
      <c r="F11" s="35"/>
      <c r="G11" s="35"/>
      <c r="H11" s="35"/>
      <c r="I11" s="35"/>
      <c r="J11" s="35"/>
      <c r="K11" s="35"/>
      <c r="L11" s="36"/>
      <c r="M11" s="40"/>
      <c r="N11" s="23"/>
      <c r="O11" s="39"/>
      <c r="P11" s="36"/>
      <c r="Q11" s="36"/>
      <c r="R11" s="19"/>
      <c r="S11" s="19"/>
      <c r="T11" s="54"/>
      <c r="U11" s="23"/>
      <c r="V11" s="23"/>
      <c r="W11" s="23"/>
      <c r="X11" s="25"/>
      <c r="Y11" s="25"/>
      <c r="Z11" s="22"/>
    </row>
    <row r="12" spans="1:26" ht="15" x14ac:dyDescent="0.2">
      <c r="A12" s="32"/>
      <c r="B12" s="24"/>
      <c r="C12" s="35"/>
      <c r="D12" s="35"/>
      <c r="E12" s="42"/>
      <c r="F12" s="35"/>
      <c r="G12" s="35"/>
      <c r="H12" s="35"/>
      <c r="I12" s="35"/>
      <c r="J12" s="35"/>
      <c r="K12" s="35"/>
      <c r="L12" s="36"/>
      <c r="M12" s="40"/>
      <c r="N12" s="23"/>
      <c r="O12" s="39"/>
      <c r="P12" s="36"/>
      <c r="Q12" s="36"/>
      <c r="R12" s="19"/>
      <c r="S12" s="19"/>
      <c r="T12" s="54"/>
      <c r="U12" s="23"/>
      <c r="V12" s="23"/>
      <c r="W12" s="23"/>
      <c r="X12" s="25"/>
      <c r="Y12" s="25"/>
      <c r="Z12" s="22"/>
    </row>
    <row r="13" spans="1:26" ht="15" x14ac:dyDescent="0.2">
      <c r="A13" s="32"/>
      <c r="B13" s="24"/>
      <c r="C13" s="10"/>
      <c r="D13" s="10"/>
      <c r="E13" s="10"/>
      <c r="F13" s="10"/>
      <c r="G13" s="10"/>
      <c r="H13" s="10"/>
      <c r="I13" s="10"/>
      <c r="J13" s="10"/>
      <c r="K13" s="10"/>
      <c r="L13" s="42"/>
      <c r="M13" s="40"/>
      <c r="N13" s="23"/>
      <c r="O13" s="39"/>
      <c r="P13" s="36"/>
      <c r="Q13" s="36"/>
      <c r="R13" s="19"/>
      <c r="S13" s="19"/>
      <c r="T13" s="54"/>
      <c r="U13" s="23"/>
      <c r="V13" s="23"/>
      <c r="W13" s="23"/>
      <c r="X13" s="25"/>
      <c r="Y13" s="25"/>
      <c r="Z13" s="53"/>
    </row>
    <row r="14" spans="1:26" ht="15" x14ac:dyDescent="0.2">
      <c r="A14" s="32"/>
      <c r="B14" s="24"/>
      <c r="C14" s="10"/>
      <c r="D14" s="10"/>
      <c r="E14" s="10"/>
      <c r="F14" s="10"/>
      <c r="G14" s="10"/>
      <c r="H14" s="10"/>
      <c r="I14" s="10"/>
      <c r="J14" s="10"/>
      <c r="K14" s="35"/>
      <c r="L14" s="42"/>
      <c r="M14" s="40"/>
      <c r="N14" s="23"/>
      <c r="O14" s="39"/>
      <c r="P14" s="36"/>
      <c r="Q14" s="36"/>
      <c r="R14" s="19"/>
      <c r="S14" s="19"/>
      <c r="T14" s="54"/>
      <c r="U14" s="23"/>
      <c r="V14" s="23"/>
      <c r="W14" s="23"/>
      <c r="X14" s="25"/>
      <c r="Y14" s="25"/>
      <c r="Z14" s="53"/>
    </row>
    <row r="15" spans="1:26" ht="15" x14ac:dyDescent="0.2">
      <c r="A15" s="32"/>
      <c r="B15" s="24"/>
      <c r="C15" s="35"/>
      <c r="D15" s="35"/>
      <c r="E15" s="42"/>
      <c r="F15" s="35"/>
      <c r="G15" s="35"/>
      <c r="H15" s="35"/>
      <c r="I15" s="35"/>
      <c r="J15" s="35"/>
      <c r="K15" s="35"/>
      <c r="L15" s="36"/>
      <c r="M15" s="40"/>
      <c r="N15" s="23"/>
      <c r="O15" s="39"/>
      <c r="P15" s="36"/>
      <c r="Q15" s="36"/>
      <c r="R15" s="19"/>
      <c r="S15" s="19"/>
      <c r="T15" s="54"/>
      <c r="U15" s="23"/>
      <c r="V15" s="23"/>
      <c r="W15" s="23"/>
      <c r="X15" s="25"/>
      <c r="Y15" s="41"/>
      <c r="Z15" s="22"/>
    </row>
    <row r="16" spans="1:26" ht="15" x14ac:dyDescent="0.2">
      <c r="A16" s="32"/>
      <c r="B16" s="24"/>
      <c r="C16" s="35"/>
      <c r="D16" s="35"/>
      <c r="E16" s="42"/>
      <c r="F16" s="35"/>
      <c r="G16" s="35"/>
      <c r="H16" s="35"/>
      <c r="I16" s="35"/>
      <c r="J16" s="35"/>
      <c r="K16" s="35"/>
      <c r="L16" s="36"/>
      <c r="M16" s="40"/>
      <c r="N16" s="23"/>
      <c r="O16" s="39"/>
      <c r="P16" s="36"/>
      <c r="Q16" s="36"/>
      <c r="R16" s="19"/>
      <c r="S16" s="19"/>
      <c r="T16" s="54"/>
      <c r="U16" s="23"/>
      <c r="V16" s="23"/>
      <c r="W16" s="23"/>
      <c r="X16" s="25"/>
      <c r="Y16" s="41"/>
      <c r="Z16" s="22"/>
    </row>
    <row r="17" spans="1:26" ht="15" x14ac:dyDescent="0.2">
      <c r="A17" s="32"/>
      <c r="B17" s="24"/>
      <c r="C17" s="35"/>
      <c r="D17" s="35"/>
      <c r="E17" s="42"/>
      <c r="F17" s="35"/>
      <c r="G17" s="35"/>
      <c r="H17" s="35"/>
      <c r="I17" s="35"/>
      <c r="J17" s="35"/>
      <c r="K17" s="35"/>
      <c r="L17" s="36"/>
      <c r="M17" s="40"/>
      <c r="N17" s="23"/>
      <c r="O17" s="39"/>
      <c r="P17" s="36"/>
      <c r="Q17" s="36"/>
      <c r="R17" s="19"/>
      <c r="S17" s="19"/>
      <c r="T17" s="54"/>
      <c r="U17" s="23"/>
      <c r="V17" s="23"/>
      <c r="W17" s="23"/>
      <c r="X17" s="25"/>
      <c r="Y17" s="25"/>
      <c r="Z17" s="22"/>
    </row>
    <row r="18" spans="1:26" ht="15" x14ac:dyDescent="0.2">
      <c r="A18" s="32"/>
      <c r="B18" s="24"/>
      <c r="C18" s="35"/>
      <c r="D18" s="35"/>
      <c r="E18" s="42"/>
      <c r="F18" s="35"/>
      <c r="G18" s="35"/>
      <c r="H18" s="35"/>
      <c r="I18" s="35"/>
      <c r="J18" s="35"/>
      <c r="K18" s="35"/>
      <c r="L18" s="36"/>
      <c r="M18" s="40"/>
      <c r="N18" s="23"/>
      <c r="O18" s="39"/>
      <c r="P18" s="36"/>
      <c r="Q18" s="36"/>
      <c r="R18" s="19"/>
      <c r="S18" s="19"/>
      <c r="T18" s="54"/>
      <c r="U18" s="23"/>
      <c r="V18" s="23"/>
      <c r="W18" s="23"/>
      <c r="X18" s="25"/>
      <c r="Y18" s="25"/>
      <c r="Z18" s="22"/>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M1:M2"/>
    <mergeCell ref="N1:Z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6"/>
  <sheetViews>
    <sheetView zoomScale="80" zoomScaleNormal="80" workbookViewId="0">
      <selection activeCell="N5" sqref="N5"/>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12" style="30" customWidth="1"/>
    <col min="12" max="12" width="27.4257812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75" thickBot="1" x14ac:dyDescent="0.25">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8" thickBot="1" x14ac:dyDescent="0.25">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120" x14ac:dyDescent="0.2">
      <c r="A4" s="32">
        <v>44069</v>
      </c>
      <c r="B4" s="24">
        <v>17</v>
      </c>
      <c r="C4" s="75"/>
      <c r="D4" s="75"/>
      <c r="E4" s="44" t="s">
        <v>210</v>
      </c>
      <c r="F4" s="75"/>
      <c r="G4" s="75"/>
      <c r="H4" s="75"/>
      <c r="I4" s="75"/>
      <c r="J4" s="75"/>
      <c r="K4" s="75"/>
      <c r="L4" s="75"/>
      <c r="M4" s="75" t="s">
        <v>211</v>
      </c>
      <c r="N4" s="23" t="s">
        <v>32</v>
      </c>
      <c r="O4" s="39" t="s">
        <v>6</v>
      </c>
      <c r="P4" s="36">
        <v>605</v>
      </c>
      <c r="Q4" s="36"/>
      <c r="R4" s="22" t="s">
        <v>74</v>
      </c>
      <c r="S4" s="22" t="s">
        <v>75</v>
      </c>
      <c r="T4" s="53">
        <v>1</v>
      </c>
      <c r="U4" s="23" t="s">
        <v>76</v>
      </c>
      <c r="V4" s="23">
        <v>6</v>
      </c>
      <c r="W4" s="23"/>
      <c r="X4" s="25" t="s">
        <v>77</v>
      </c>
      <c r="Y4" s="25"/>
      <c r="Z4" s="22" t="s">
        <v>212</v>
      </c>
    </row>
    <row r="5" spans="1:26" ht="202.5" customHeight="1" x14ac:dyDescent="0.2">
      <c r="A5" s="32">
        <v>44075</v>
      </c>
      <c r="B5" s="24">
        <v>17</v>
      </c>
      <c r="C5" s="10" t="s">
        <v>100</v>
      </c>
      <c r="D5" s="75" t="s">
        <v>101</v>
      </c>
      <c r="E5" s="45" t="s">
        <v>213</v>
      </c>
      <c r="F5" s="10" t="s">
        <v>103</v>
      </c>
      <c r="G5" s="10" t="s">
        <v>76</v>
      </c>
      <c r="H5" s="77" t="s">
        <v>214</v>
      </c>
      <c r="I5" s="10">
        <v>17</v>
      </c>
      <c r="J5" s="10" t="s">
        <v>105</v>
      </c>
      <c r="K5" s="10"/>
      <c r="L5" s="48"/>
      <c r="M5" s="50" t="s">
        <v>215</v>
      </c>
      <c r="N5" s="23" t="s">
        <v>32</v>
      </c>
      <c r="O5" s="39" t="s">
        <v>6</v>
      </c>
      <c r="P5" s="36">
        <v>605</v>
      </c>
      <c r="Q5" s="36"/>
      <c r="R5" s="22" t="s">
        <v>80</v>
      </c>
      <c r="S5" s="22" t="s">
        <v>81</v>
      </c>
      <c r="T5" s="53">
        <v>7</v>
      </c>
      <c r="U5" s="23" t="s">
        <v>76</v>
      </c>
      <c r="V5" s="23">
        <v>18</v>
      </c>
      <c r="W5" s="23"/>
      <c r="X5" s="25" t="s">
        <v>77</v>
      </c>
      <c r="Y5" s="25"/>
      <c r="Z5" s="22"/>
    </row>
    <row r="6" spans="1:26" ht="30" x14ac:dyDescent="0.2">
      <c r="A6" s="32">
        <v>43969</v>
      </c>
      <c r="B6" s="24">
        <v>15.4</v>
      </c>
      <c r="C6" s="10"/>
      <c r="D6" s="10"/>
      <c r="E6" s="44"/>
      <c r="F6" s="19"/>
      <c r="G6" s="19"/>
      <c r="H6" s="19"/>
      <c r="I6" s="20"/>
      <c r="J6" s="20"/>
      <c r="K6" s="10"/>
      <c r="L6" s="19"/>
      <c r="M6" s="10" t="s">
        <v>216</v>
      </c>
      <c r="N6" s="23" t="s">
        <v>32</v>
      </c>
      <c r="O6" s="39" t="s">
        <v>6</v>
      </c>
      <c r="P6" s="36">
        <v>605</v>
      </c>
      <c r="Q6" s="36"/>
      <c r="R6" s="22" t="s">
        <v>85</v>
      </c>
      <c r="S6" s="22" t="s">
        <v>86</v>
      </c>
      <c r="T6" s="53">
        <v>25</v>
      </c>
      <c r="U6" s="23" t="s">
        <v>76</v>
      </c>
      <c r="V6" s="23">
        <v>3</v>
      </c>
      <c r="W6" s="23"/>
      <c r="X6" s="25" t="s">
        <v>77</v>
      </c>
      <c r="Y6" s="25"/>
      <c r="Z6" s="22" t="s">
        <v>217</v>
      </c>
    </row>
    <row r="7" spans="1:26" ht="30" x14ac:dyDescent="0.2">
      <c r="A7" s="32">
        <v>43969</v>
      </c>
      <c r="B7" s="24">
        <v>15.4</v>
      </c>
      <c r="C7" s="10"/>
      <c r="D7" s="10"/>
      <c r="E7" s="10"/>
      <c r="F7" s="10"/>
      <c r="G7" s="10"/>
      <c r="H7" s="10"/>
      <c r="I7" s="26"/>
      <c r="J7" s="26"/>
      <c r="K7" s="26"/>
      <c r="L7" s="19"/>
      <c r="M7" s="51" t="s">
        <v>218</v>
      </c>
      <c r="N7" s="23" t="s">
        <v>32</v>
      </c>
      <c r="O7" s="39" t="s">
        <v>6</v>
      </c>
      <c r="P7" s="36">
        <v>605</v>
      </c>
      <c r="Q7" s="36"/>
      <c r="R7" s="22" t="s">
        <v>89</v>
      </c>
      <c r="S7" s="22" t="s">
        <v>90</v>
      </c>
      <c r="T7" s="53">
        <v>28</v>
      </c>
      <c r="U7" s="23" t="s">
        <v>91</v>
      </c>
      <c r="V7" s="23">
        <v>8</v>
      </c>
      <c r="W7" s="23" t="s">
        <v>92</v>
      </c>
      <c r="X7" s="25" t="s">
        <v>77</v>
      </c>
      <c r="Y7" s="25"/>
      <c r="Z7" s="22"/>
    </row>
    <row r="8" spans="1:26" ht="69" customHeight="1" x14ac:dyDescent="0.2">
      <c r="A8" s="32">
        <v>43969</v>
      </c>
      <c r="B8" s="24">
        <v>15.4</v>
      </c>
      <c r="C8" s="35"/>
      <c r="D8" s="35"/>
      <c r="E8" s="44"/>
      <c r="F8" s="75"/>
      <c r="G8" s="75"/>
      <c r="H8" s="75"/>
      <c r="I8" s="75"/>
      <c r="J8" s="75"/>
      <c r="K8" s="75"/>
      <c r="L8" s="38"/>
      <c r="M8" s="72" t="s">
        <v>118</v>
      </c>
      <c r="N8" s="23" t="s">
        <v>32</v>
      </c>
      <c r="O8" s="39" t="s">
        <v>6</v>
      </c>
      <c r="P8" s="36">
        <v>605</v>
      </c>
      <c r="Q8" s="36"/>
      <c r="R8" s="22" t="s">
        <v>219</v>
      </c>
      <c r="S8" s="22" t="s">
        <v>120</v>
      </c>
      <c r="T8" s="53">
        <v>36</v>
      </c>
      <c r="U8" s="23" t="s">
        <v>76</v>
      </c>
      <c r="V8" s="23">
        <v>6</v>
      </c>
      <c r="W8" s="23"/>
      <c r="X8" s="25" t="s">
        <v>77</v>
      </c>
      <c r="Y8" s="25"/>
      <c r="Z8" s="22"/>
    </row>
    <row r="9" spans="1:26" ht="120" x14ac:dyDescent="0.2">
      <c r="A9" s="32">
        <v>43969</v>
      </c>
      <c r="B9" s="24">
        <v>15.4</v>
      </c>
      <c r="C9" s="10" t="s">
        <v>122</v>
      </c>
      <c r="D9" s="52" t="s">
        <v>123</v>
      </c>
      <c r="E9" s="10" t="s">
        <v>124</v>
      </c>
      <c r="F9" s="10" t="s">
        <v>125</v>
      </c>
      <c r="G9" s="19" t="s">
        <v>76</v>
      </c>
      <c r="H9" s="19" t="s">
        <v>126</v>
      </c>
      <c r="I9" s="19" t="s">
        <v>127</v>
      </c>
      <c r="J9" s="20"/>
      <c r="K9" s="20"/>
      <c r="L9" s="75"/>
      <c r="M9" s="75" t="s">
        <v>220</v>
      </c>
      <c r="N9" s="23" t="s">
        <v>32</v>
      </c>
      <c r="O9" s="39" t="s">
        <v>6</v>
      </c>
      <c r="P9" s="36">
        <v>605</v>
      </c>
      <c r="Q9" s="36"/>
      <c r="R9" s="22" t="s">
        <v>221</v>
      </c>
      <c r="S9" s="22" t="s">
        <v>130</v>
      </c>
      <c r="T9" s="53">
        <v>42</v>
      </c>
      <c r="U9" s="23" t="s">
        <v>76</v>
      </c>
      <c r="V9" s="23">
        <v>18</v>
      </c>
      <c r="W9" s="46"/>
      <c r="X9" s="25" t="s">
        <v>77</v>
      </c>
      <c r="Y9" s="37"/>
      <c r="Z9" s="22"/>
    </row>
    <row r="10" spans="1:26" ht="165" x14ac:dyDescent="0.2">
      <c r="A10" s="32">
        <v>43969</v>
      </c>
      <c r="B10" s="24">
        <v>15.4</v>
      </c>
      <c r="C10" s="10" t="s">
        <v>122</v>
      </c>
      <c r="D10" s="52" t="s">
        <v>123</v>
      </c>
      <c r="E10" s="10" t="s">
        <v>124</v>
      </c>
      <c r="F10" s="10" t="s">
        <v>125</v>
      </c>
      <c r="G10" s="19" t="s">
        <v>76</v>
      </c>
      <c r="H10" s="19" t="s">
        <v>126</v>
      </c>
      <c r="I10" s="19" t="s">
        <v>127</v>
      </c>
      <c r="J10" s="20"/>
      <c r="K10" s="20"/>
      <c r="L10" s="75"/>
      <c r="M10" s="75" t="s">
        <v>220</v>
      </c>
      <c r="N10" s="23" t="s">
        <v>32</v>
      </c>
      <c r="O10" s="39" t="s">
        <v>6</v>
      </c>
      <c r="P10" s="36">
        <v>605</v>
      </c>
      <c r="Q10" s="36"/>
      <c r="R10" s="22" t="s">
        <v>222</v>
      </c>
      <c r="S10" s="22" t="s">
        <v>133</v>
      </c>
      <c r="T10" s="53">
        <v>60</v>
      </c>
      <c r="U10" s="23" t="s">
        <v>76</v>
      </c>
      <c r="V10" s="23">
        <v>24</v>
      </c>
      <c r="W10" s="23"/>
      <c r="X10" s="25" t="s">
        <v>77</v>
      </c>
      <c r="Y10" s="25"/>
      <c r="Z10" s="22"/>
    </row>
    <row r="11" spans="1:26" ht="15" x14ac:dyDescent="0.2">
      <c r="A11" s="32"/>
      <c r="B11" s="24"/>
      <c r="C11" s="35"/>
      <c r="D11" s="35"/>
      <c r="E11" s="42"/>
      <c r="F11" s="35"/>
      <c r="G11" s="35"/>
      <c r="H11" s="35"/>
      <c r="I11" s="35"/>
      <c r="J11" s="35"/>
      <c r="K11" s="35"/>
      <c r="L11" s="36"/>
      <c r="M11" s="40"/>
      <c r="N11" s="23"/>
      <c r="O11" s="39"/>
      <c r="P11" s="36"/>
      <c r="Q11" s="36"/>
      <c r="R11" s="19"/>
      <c r="S11" s="19"/>
      <c r="T11" s="54"/>
      <c r="U11" s="23"/>
      <c r="V11" s="23"/>
      <c r="W11" s="23"/>
      <c r="X11" s="25"/>
      <c r="Y11" s="25"/>
      <c r="Z11" s="22"/>
    </row>
    <row r="12" spans="1:26" ht="15" x14ac:dyDescent="0.2">
      <c r="A12" s="32"/>
      <c r="B12" s="24"/>
      <c r="C12" s="35"/>
      <c r="D12" s="35"/>
      <c r="E12" s="42"/>
      <c r="F12" s="35"/>
      <c r="G12" s="35"/>
      <c r="H12" s="35"/>
      <c r="I12" s="35"/>
      <c r="J12" s="35"/>
      <c r="K12" s="35"/>
      <c r="L12" s="36"/>
      <c r="M12" s="40"/>
      <c r="N12" s="23"/>
      <c r="O12" s="39"/>
      <c r="P12" s="36"/>
      <c r="Q12" s="36"/>
      <c r="R12" s="19"/>
      <c r="S12" s="19"/>
      <c r="T12" s="54"/>
      <c r="U12" s="23"/>
      <c r="V12" s="23"/>
      <c r="W12" s="23"/>
      <c r="X12" s="25"/>
      <c r="Y12" s="25"/>
      <c r="Z12" s="22"/>
    </row>
    <row r="13" spans="1:26" ht="15" x14ac:dyDescent="0.2">
      <c r="A13" s="32"/>
      <c r="B13" s="24"/>
      <c r="C13" s="10"/>
      <c r="D13" s="10"/>
      <c r="E13" s="10"/>
      <c r="F13" s="10"/>
      <c r="G13" s="10"/>
      <c r="H13" s="10"/>
      <c r="I13" s="10"/>
      <c r="J13" s="10"/>
      <c r="K13" s="10"/>
      <c r="L13" s="42"/>
      <c r="M13" s="40"/>
      <c r="N13" s="23"/>
      <c r="O13" s="39"/>
      <c r="P13" s="36"/>
      <c r="Q13" s="36"/>
      <c r="R13" s="19"/>
      <c r="S13" s="19"/>
      <c r="T13" s="54"/>
      <c r="U13" s="23"/>
      <c r="V13" s="23"/>
      <c r="W13" s="23"/>
      <c r="X13" s="25"/>
      <c r="Y13" s="25"/>
      <c r="Z13" s="53"/>
    </row>
    <row r="14" spans="1:26" ht="15" x14ac:dyDescent="0.2">
      <c r="A14" s="32"/>
      <c r="B14" s="24"/>
      <c r="C14" s="10"/>
      <c r="D14" s="10"/>
      <c r="E14" s="10"/>
      <c r="F14" s="10"/>
      <c r="G14" s="10"/>
      <c r="H14" s="10"/>
      <c r="I14" s="10"/>
      <c r="J14" s="10"/>
      <c r="K14" s="35"/>
      <c r="L14" s="42"/>
      <c r="M14" s="40"/>
      <c r="N14" s="23"/>
      <c r="O14" s="39"/>
      <c r="P14" s="36"/>
      <c r="Q14" s="36"/>
      <c r="R14" s="19"/>
      <c r="S14" s="19"/>
      <c r="T14" s="54"/>
      <c r="U14" s="23"/>
      <c r="V14" s="23"/>
      <c r="W14" s="23"/>
      <c r="X14" s="25"/>
      <c r="Y14" s="25"/>
      <c r="Z14" s="53"/>
    </row>
    <row r="15" spans="1:26" ht="15" x14ac:dyDescent="0.2">
      <c r="A15" s="32"/>
      <c r="B15" s="24"/>
      <c r="C15" s="35"/>
      <c r="D15" s="35"/>
      <c r="E15" s="42"/>
      <c r="F15" s="35"/>
      <c r="G15" s="35"/>
      <c r="H15" s="35"/>
      <c r="I15" s="35"/>
      <c r="J15" s="35"/>
      <c r="K15" s="35"/>
      <c r="L15" s="36"/>
      <c r="M15" s="40"/>
      <c r="N15" s="23"/>
      <c r="O15" s="39"/>
      <c r="P15" s="36"/>
      <c r="Q15" s="36"/>
      <c r="R15" s="19"/>
      <c r="S15" s="19"/>
      <c r="T15" s="54"/>
      <c r="U15" s="23"/>
      <c r="V15" s="23"/>
      <c r="W15" s="23"/>
      <c r="X15" s="25"/>
      <c r="Y15" s="41"/>
      <c r="Z15" s="22"/>
    </row>
    <row r="16" spans="1:26" ht="15" x14ac:dyDescent="0.2">
      <c r="A16" s="32"/>
      <c r="B16" s="24"/>
      <c r="C16" s="35"/>
      <c r="D16" s="35"/>
      <c r="E16" s="42"/>
      <c r="F16" s="35"/>
      <c r="G16" s="35"/>
      <c r="H16" s="35"/>
      <c r="I16" s="35"/>
      <c r="J16" s="35"/>
      <c r="K16" s="35"/>
      <c r="L16" s="36"/>
      <c r="M16" s="40"/>
      <c r="N16" s="23"/>
      <c r="O16" s="39"/>
      <c r="P16" s="36"/>
      <c r="Q16" s="36"/>
      <c r="R16" s="19"/>
      <c r="S16" s="19"/>
      <c r="T16" s="54"/>
      <c r="U16" s="23"/>
      <c r="V16" s="23"/>
      <c r="W16" s="23"/>
      <c r="X16" s="25"/>
      <c r="Y16" s="41"/>
      <c r="Z16" s="22"/>
    </row>
    <row r="17" spans="1:26" ht="15" x14ac:dyDescent="0.2">
      <c r="A17" s="32"/>
      <c r="B17" s="24"/>
      <c r="C17" s="35"/>
      <c r="D17" s="35"/>
      <c r="E17" s="42"/>
      <c r="F17" s="35"/>
      <c r="G17" s="35"/>
      <c r="H17" s="35"/>
      <c r="I17" s="35"/>
      <c r="J17" s="35"/>
      <c r="K17" s="35"/>
      <c r="L17" s="36"/>
      <c r="M17" s="40"/>
      <c r="N17" s="23"/>
      <c r="O17" s="39"/>
      <c r="P17" s="36"/>
      <c r="Q17" s="36"/>
      <c r="R17" s="19"/>
      <c r="S17" s="19"/>
      <c r="T17" s="54"/>
      <c r="U17" s="23"/>
      <c r="V17" s="23"/>
      <c r="W17" s="23"/>
      <c r="X17" s="25"/>
      <c r="Y17" s="25"/>
      <c r="Z17" s="22"/>
    </row>
    <row r="18" spans="1:26" ht="15" x14ac:dyDescent="0.2">
      <c r="A18" s="32"/>
      <c r="B18" s="24"/>
      <c r="C18" s="35"/>
      <c r="D18" s="35"/>
      <c r="E18" s="42"/>
      <c r="F18" s="35"/>
      <c r="G18" s="35"/>
      <c r="H18" s="35"/>
      <c r="I18" s="35"/>
      <c r="J18" s="35"/>
      <c r="K18" s="35"/>
      <c r="L18" s="36"/>
      <c r="M18" s="40"/>
      <c r="N18" s="23"/>
      <c r="O18" s="39"/>
      <c r="P18" s="36"/>
      <c r="Q18" s="36"/>
      <c r="R18" s="19"/>
      <c r="S18" s="19"/>
      <c r="T18" s="54"/>
      <c r="U18" s="23"/>
      <c r="V18" s="23"/>
      <c r="W18" s="23"/>
      <c r="X18" s="25"/>
      <c r="Y18" s="25"/>
      <c r="Z18" s="22"/>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M1:M2"/>
    <mergeCell ref="N1:Z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6"/>
  <sheetViews>
    <sheetView zoomScale="80" zoomScaleNormal="80" workbookViewId="0">
      <pane ySplit="3" topLeftCell="A4" activePane="bottomLeft" state="frozen"/>
      <selection pane="bottomLeft" activeCell="E8" sqref="E8"/>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12" style="30" customWidth="1"/>
    <col min="12" max="12" width="16.710937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75" thickBot="1" x14ac:dyDescent="0.25">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8" thickBot="1" x14ac:dyDescent="0.25">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75" x14ac:dyDescent="0.2">
      <c r="A4" s="32">
        <v>43970</v>
      </c>
      <c r="B4" s="24">
        <v>15.4</v>
      </c>
      <c r="C4" s="75"/>
      <c r="D4" s="75"/>
      <c r="E4" s="44"/>
      <c r="F4" s="75"/>
      <c r="G4" s="75"/>
      <c r="H4" s="75"/>
      <c r="I4" s="75"/>
      <c r="J4" s="75"/>
      <c r="K4" s="75"/>
      <c r="L4" s="47"/>
      <c r="M4" s="75" t="s">
        <v>223</v>
      </c>
      <c r="N4" s="23" t="s">
        <v>32</v>
      </c>
      <c r="O4" s="39" t="s">
        <v>6</v>
      </c>
      <c r="P4" s="36">
        <v>700</v>
      </c>
      <c r="Q4" s="36"/>
      <c r="R4" s="22" t="s">
        <v>74</v>
      </c>
      <c r="S4" s="22" t="s">
        <v>75</v>
      </c>
      <c r="T4" s="53">
        <v>1</v>
      </c>
      <c r="U4" s="23" t="s">
        <v>76</v>
      </c>
      <c r="V4" s="23">
        <v>6</v>
      </c>
      <c r="W4" s="23"/>
      <c r="X4" s="25" t="s">
        <v>77</v>
      </c>
      <c r="Y4" s="25"/>
      <c r="Z4" s="22" t="s">
        <v>224</v>
      </c>
    </row>
    <row r="5" spans="1:26" ht="150.75" customHeight="1" x14ac:dyDescent="0.2">
      <c r="A5" s="32">
        <v>44075</v>
      </c>
      <c r="B5" s="24">
        <v>17</v>
      </c>
      <c r="C5" s="10" t="s">
        <v>100</v>
      </c>
      <c r="D5" s="10" t="s">
        <v>134</v>
      </c>
      <c r="E5" s="45" t="s">
        <v>139</v>
      </c>
      <c r="F5" s="10" t="s">
        <v>140</v>
      </c>
      <c r="G5" s="10" t="s">
        <v>141</v>
      </c>
      <c r="H5" s="10"/>
      <c r="I5" s="10" t="s">
        <v>142</v>
      </c>
      <c r="J5" s="10"/>
      <c r="K5" s="10"/>
      <c r="L5" s="10"/>
      <c r="M5" s="49" t="s">
        <v>225</v>
      </c>
      <c r="N5" s="23" t="s">
        <v>32</v>
      </c>
      <c r="O5" s="39" t="s">
        <v>6</v>
      </c>
      <c r="P5" s="36">
        <v>700</v>
      </c>
      <c r="Q5" s="36"/>
      <c r="R5" s="22" t="s">
        <v>80</v>
      </c>
      <c r="S5" s="22" t="s">
        <v>81</v>
      </c>
      <c r="T5" s="53">
        <v>7</v>
      </c>
      <c r="U5" s="23" t="s">
        <v>76</v>
      </c>
      <c r="V5" s="23">
        <v>18</v>
      </c>
      <c r="W5" s="23"/>
      <c r="X5" s="25" t="s">
        <v>77</v>
      </c>
      <c r="Y5" s="25"/>
      <c r="Z5" s="22"/>
    </row>
    <row r="6" spans="1:26" ht="30" x14ac:dyDescent="0.2">
      <c r="A6" s="32">
        <v>43970</v>
      </c>
      <c r="B6" s="24">
        <v>15.4</v>
      </c>
      <c r="C6" s="10"/>
      <c r="D6" s="10"/>
      <c r="E6" s="45"/>
      <c r="F6" s="10"/>
      <c r="G6" s="10"/>
      <c r="H6" s="10"/>
      <c r="I6" s="10"/>
      <c r="J6" s="10"/>
      <c r="K6" s="10"/>
      <c r="L6" s="75"/>
      <c r="M6" s="10" t="s">
        <v>226</v>
      </c>
      <c r="N6" s="23" t="s">
        <v>32</v>
      </c>
      <c r="O6" s="39" t="s">
        <v>6</v>
      </c>
      <c r="P6" s="36">
        <v>700</v>
      </c>
      <c r="Q6" s="36"/>
      <c r="R6" s="22" t="s">
        <v>85</v>
      </c>
      <c r="S6" s="22" t="s">
        <v>86</v>
      </c>
      <c r="T6" s="53">
        <v>25</v>
      </c>
      <c r="U6" s="23" t="s">
        <v>76</v>
      </c>
      <c r="V6" s="23">
        <v>3</v>
      </c>
      <c r="W6" s="23"/>
      <c r="X6" s="25" t="s">
        <v>77</v>
      </c>
      <c r="Y6" s="25"/>
      <c r="Z6" s="22" t="s">
        <v>227</v>
      </c>
    </row>
    <row r="7" spans="1:26" ht="30" x14ac:dyDescent="0.2">
      <c r="A7" s="32">
        <v>43970</v>
      </c>
      <c r="B7" s="24">
        <v>15.4</v>
      </c>
      <c r="C7" s="10" t="s">
        <v>100</v>
      </c>
      <c r="D7" s="10" t="s">
        <v>134</v>
      </c>
      <c r="E7" s="10" t="s">
        <v>146</v>
      </c>
      <c r="F7" s="10" t="s">
        <v>147</v>
      </c>
      <c r="G7" s="10" t="s">
        <v>228</v>
      </c>
      <c r="H7" s="10">
        <v>21</v>
      </c>
      <c r="I7" s="20">
        <v>4</v>
      </c>
      <c r="J7" s="20"/>
      <c r="K7" s="10"/>
      <c r="L7" s="19" t="s">
        <v>149</v>
      </c>
      <c r="M7" s="19"/>
      <c r="N7" s="23" t="s">
        <v>32</v>
      </c>
      <c r="O7" s="39" t="s">
        <v>6</v>
      </c>
      <c r="P7" s="36">
        <v>700</v>
      </c>
      <c r="Q7" s="36"/>
      <c r="R7" s="22" t="s">
        <v>89</v>
      </c>
      <c r="S7" s="22" t="s">
        <v>90</v>
      </c>
      <c r="T7" s="53">
        <v>28</v>
      </c>
      <c r="U7" s="23" t="s">
        <v>91</v>
      </c>
      <c r="V7" s="23">
        <v>8</v>
      </c>
      <c r="W7" s="23" t="s">
        <v>92</v>
      </c>
      <c r="X7" s="25" t="s">
        <v>77</v>
      </c>
      <c r="Y7" s="25"/>
      <c r="Z7" s="22"/>
    </row>
    <row r="8" spans="1:26" ht="195.75" customHeight="1" x14ac:dyDescent="0.2">
      <c r="A8" s="32">
        <v>43970</v>
      </c>
      <c r="B8" s="24">
        <v>15.4</v>
      </c>
      <c r="C8" s="10" t="s">
        <v>100</v>
      </c>
      <c r="D8" s="10" t="s">
        <v>134</v>
      </c>
      <c r="E8" s="10" t="s">
        <v>229</v>
      </c>
      <c r="F8" s="10" t="s">
        <v>230</v>
      </c>
      <c r="G8" s="10" t="s">
        <v>231</v>
      </c>
      <c r="H8" s="10" t="s">
        <v>232</v>
      </c>
      <c r="I8" s="28" t="s">
        <v>233</v>
      </c>
      <c r="J8" s="26"/>
      <c r="K8" s="26"/>
      <c r="L8" s="19" t="s">
        <v>149</v>
      </c>
      <c r="M8" s="19" t="s">
        <v>234</v>
      </c>
      <c r="N8" s="23" t="s">
        <v>32</v>
      </c>
      <c r="O8" s="39" t="s">
        <v>6</v>
      </c>
      <c r="P8" s="36">
        <v>700</v>
      </c>
      <c r="Q8" s="36"/>
      <c r="R8" s="22" t="s">
        <v>235</v>
      </c>
      <c r="S8" s="22" t="s">
        <v>236</v>
      </c>
      <c r="T8" s="53">
        <v>36</v>
      </c>
      <c r="U8" s="23" t="s">
        <v>96</v>
      </c>
      <c r="V8" s="23">
        <v>18</v>
      </c>
      <c r="W8" s="23" t="s">
        <v>159</v>
      </c>
      <c r="X8" s="25" t="s">
        <v>77</v>
      </c>
      <c r="Y8" s="25"/>
      <c r="Z8" s="22"/>
    </row>
    <row r="9" spans="1:26" ht="45" x14ac:dyDescent="0.2">
      <c r="A9" s="32">
        <v>43970</v>
      </c>
      <c r="B9" s="24">
        <v>15.4</v>
      </c>
      <c r="C9" s="35"/>
      <c r="D9" s="35"/>
      <c r="E9" s="42"/>
      <c r="F9" s="35"/>
      <c r="G9" s="35"/>
      <c r="H9" s="35"/>
      <c r="I9" s="35"/>
      <c r="J9" s="35"/>
      <c r="K9" s="35"/>
      <c r="L9" s="47"/>
      <c r="M9" s="40" t="s">
        <v>173</v>
      </c>
      <c r="N9" s="23" t="s">
        <v>32</v>
      </c>
      <c r="O9" s="39" t="s">
        <v>6</v>
      </c>
      <c r="P9" s="36">
        <v>700</v>
      </c>
      <c r="Q9" s="36"/>
      <c r="R9" s="22" t="s">
        <v>174</v>
      </c>
      <c r="S9" s="22" t="s">
        <v>237</v>
      </c>
      <c r="T9" s="53">
        <v>54</v>
      </c>
      <c r="U9" s="23" t="s">
        <v>76</v>
      </c>
      <c r="V9" s="23">
        <v>8</v>
      </c>
      <c r="W9" s="46"/>
      <c r="X9" s="37" t="s">
        <v>82</v>
      </c>
      <c r="Y9" s="37"/>
      <c r="Z9" s="22"/>
    </row>
    <row r="10" spans="1:26" ht="165" x14ac:dyDescent="0.2">
      <c r="A10" s="32">
        <v>43970</v>
      </c>
      <c r="B10" s="24">
        <v>15.4</v>
      </c>
      <c r="C10" s="35"/>
      <c r="D10" s="35"/>
      <c r="E10" s="42"/>
      <c r="F10" s="35"/>
      <c r="G10" s="35"/>
      <c r="H10" s="35"/>
      <c r="I10" s="35"/>
      <c r="J10" s="35"/>
      <c r="K10" s="35"/>
      <c r="L10" s="47"/>
      <c r="M10" s="40" t="s">
        <v>176</v>
      </c>
      <c r="N10" s="23" t="s">
        <v>32</v>
      </c>
      <c r="O10" s="39" t="s">
        <v>6</v>
      </c>
      <c r="P10" s="36">
        <v>700</v>
      </c>
      <c r="Q10" s="36"/>
      <c r="R10" s="22" t="s">
        <v>177</v>
      </c>
      <c r="S10" s="22" t="s">
        <v>238</v>
      </c>
      <c r="T10" s="53">
        <v>62</v>
      </c>
      <c r="U10" s="23" t="s">
        <v>96</v>
      </c>
      <c r="V10" s="23">
        <v>18</v>
      </c>
      <c r="W10" s="23" t="s">
        <v>159</v>
      </c>
      <c r="X10" s="37" t="s">
        <v>82</v>
      </c>
      <c r="Y10" s="25"/>
      <c r="Z10" s="22"/>
    </row>
    <row r="11" spans="1:26" ht="90" x14ac:dyDescent="0.2">
      <c r="A11" s="32">
        <v>43970</v>
      </c>
      <c r="B11" s="24">
        <v>15.4</v>
      </c>
      <c r="C11" s="10"/>
      <c r="D11" s="10"/>
      <c r="E11" s="42"/>
      <c r="F11" s="10"/>
      <c r="G11" s="10"/>
      <c r="H11" s="10"/>
      <c r="I11" s="10"/>
      <c r="J11" s="10"/>
      <c r="K11" s="10"/>
      <c r="L11" s="47"/>
      <c r="M11" s="40" t="s">
        <v>173</v>
      </c>
      <c r="N11" s="23" t="s">
        <v>32</v>
      </c>
      <c r="O11" s="39" t="s">
        <v>6</v>
      </c>
      <c r="P11" s="36">
        <v>700</v>
      </c>
      <c r="Q11" s="36"/>
      <c r="R11" s="22" t="s">
        <v>179</v>
      </c>
      <c r="S11" s="22" t="s">
        <v>180</v>
      </c>
      <c r="T11" s="53">
        <v>80</v>
      </c>
      <c r="U11" s="23" t="s">
        <v>76</v>
      </c>
      <c r="V11" s="23">
        <v>25</v>
      </c>
      <c r="W11" s="23"/>
      <c r="X11" s="37" t="s">
        <v>82</v>
      </c>
      <c r="Y11" s="25"/>
      <c r="Z11" s="53" t="s">
        <v>239</v>
      </c>
    </row>
    <row r="12" spans="1:26" ht="75" x14ac:dyDescent="0.2">
      <c r="A12" s="32">
        <v>43970</v>
      </c>
      <c r="B12" s="24">
        <v>15.4</v>
      </c>
      <c r="C12" s="10"/>
      <c r="D12" s="10"/>
      <c r="E12" s="42"/>
      <c r="F12" s="10"/>
      <c r="G12" s="10"/>
      <c r="H12" s="10"/>
      <c r="I12" s="35"/>
      <c r="J12" s="35"/>
      <c r="K12" s="10"/>
      <c r="L12" s="47"/>
      <c r="M12" s="40" t="s">
        <v>173</v>
      </c>
      <c r="N12" s="23" t="s">
        <v>32</v>
      </c>
      <c r="O12" s="39" t="s">
        <v>6</v>
      </c>
      <c r="P12" s="36">
        <v>700</v>
      </c>
      <c r="Q12" s="36"/>
      <c r="R12" s="22" t="s">
        <v>182</v>
      </c>
      <c r="S12" s="22" t="s">
        <v>240</v>
      </c>
      <c r="T12" s="53">
        <v>105</v>
      </c>
      <c r="U12" s="23" t="s">
        <v>76</v>
      </c>
      <c r="V12" s="23">
        <v>10</v>
      </c>
      <c r="W12" s="23"/>
      <c r="X12" s="37" t="s">
        <v>82</v>
      </c>
      <c r="Y12" s="25"/>
      <c r="Z12" s="53" t="s">
        <v>241</v>
      </c>
    </row>
    <row r="13" spans="1:26" ht="75" x14ac:dyDescent="0.2">
      <c r="A13" s="32">
        <v>43970</v>
      </c>
      <c r="B13" s="24">
        <v>15.4</v>
      </c>
      <c r="C13" s="35"/>
      <c r="D13" s="35"/>
      <c r="E13" s="42"/>
      <c r="F13" s="35"/>
      <c r="G13" s="35"/>
      <c r="H13" s="35"/>
      <c r="I13" s="35"/>
      <c r="J13" s="35"/>
      <c r="K13" s="35"/>
      <c r="L13" s="47"/>
      <c r="M13" s="40" t="s">
        <v>173</v>
      </c>
      <c r="N13" s="23" t="s">
        <v>32</v>
      </c>
      <c r="O13" s="39" t="s">
        <v>6</v>
      </c>
      <c r="P13" s="36">
        <v>700</v>
      </c>
      <c r="Q13" s="36"/>
      <c r="R13" s="22" t="s">
        <v>188</v>
      </c>
      <c r="S13" s="22" t="s">
        <v>242</v>
      </c>
      <c r="T13" s="53">
        <v>115</v>
      </c>
      <c r="U13" s="23" t="s">
        <v>76</v>
      </c>
      <c r="V13" s="23">
        <v>1</v>
      </c>
      <c r="W13" s="23"/>
      <c r="X13" s="37" t="s">
        <v>82</v>
      </c>
      <c r="Y13" s="25" t="s">
        <v>204</v>
      </c>
      <c r="Z13" s="22"/>
    </row>
    <row r="14" spans="1:26" ht="120" x14ac:dyDescent="0.2">
      <c r="A14" s="32">
        <v>43970</v>
      </c>
      <c r="B14" s="24">
        <v>15.4</v>
      </c>
      <c r="C14" s="35"/>
      <c r="D14" s="35"/>
      <c r="E14" s="42"/>
      <c r="F14" s="35"/>
      <c r="G14" s="35"/>
      <c r="H14" s="35"/>
      <c r="I14" s="35"/>
      <c r="J14" s="35"/>
      <c r="K14" s="35"/>
      <c r="L14" s="47"/>
      <c r="M14" s="40" t="s">
        <v>191</v>
      </c>
      <c r="N14" s="23" t="s">
        <v>32</v>
      </c>
      <c r="O14" s="39" t="s">
        <v>6</v>
      </c>
      <c r="P14" s="36">
        <v>700</v>
      </c>
      <c r="Q14" s="36"/>
      <c r="R14" s="22" t="s">
        <v>192</v>
      </c>
      <c r="S14" s="22" t="s">
        <v>193</v>
      </c>
      <c r="T14" s="53">
        <v>116</v>
      </c>
      <c r="U14" s="23" t="s">
        <v>96</v>
      </c>
      <c r="V14" s="23">
        <v>3</v>
      </c>
      <c r="W14" s="23" t="s">
        <v>194</v>
      </c>
      <c r="X14" s="37" t="s">
        <v>82</v>
      </c>
      <c r="Y14" s="25"/>
      <c r="Z14" s="22"/>
    </row>
    <row r="15" spans="1:26" ht="150" x14ac:dyDescent="0.2">
      <c r="A15" s="32">
        <v>43970</v>
      </c>
      <c r="B15" s="24">
        <v>15.4</v>
      </c>
      <c r="C15" s="35"/>
      <c r="D15" s="35"/>
      <c r="E15" s="42"/>
      <c r="F15" s="35"/>
      <c r="G15" s="35"/>
      <c r="H15" s="35"/>
      <c r="I15" s="35"/>
      <c r="J15" s="35"/>
      <c r="K15" s="35"/>
      <c r="L15" s="47"/>
      <c r="M15" s="40" t="s">
        <v>173</v>
      </c>
      <c r="N15" s="23" t="s">
        <v>32</v>
      </c>
      <c r="O15" s="39" t="s">
        <v>6</v>
      </c>
      <c r="P15" s="36">
        <v>700</v>
      </c>
      <c r="Q15" s="36"/>
      <c r="R15" s="22" t="s">
        <v>195</v>
      </c>
      <c r="S15" s="22" t="s">
        <v>196</v>
      </c>
      <c r="T15" s="53">
        <v>119</v>
      </c>
      <c r="U15" s="23" t="s">
        <v>76</v>
      </c>
      <c r="V15" s="23">
        <v>3</v>
      </c>
      <c r="W15" s="23"/>
      <c r="X15" s="37" t="s">
        <v>82</v>
      </c>
      <c r="Y15" s="25"/>
      <c r="Z15" s="22"/>
    </row>
    <row r="16" spans="1:26" ht="60" x14ac:dyDescent="0.2">
      <c r="A16" s="32">
        <v>43970</v>
      </c>
      <c r="B16" s="24">
        <v>15.4</v>
      </c>
      <c r="C16" s="10"/>
      <c r="D16" s="35"/>
      <c r="E16" s="42"/>
      <c r="F16" s="35"/>
      <c r="G16" s="35"/>
      <c r="H16" s="35"/>
      <c r="I16" s="35"/>
      <c r="J16" s="35"/>
      <c r="K16" s="35"/>
      <c r="L16" s="47"/>
      <c r="M16" s="40" t="s">
        <v>173</v>
      </c>
      <c r="N16" s="23"/>
      <c r="O16" s="39"/>
      <c r="P16" s="63">
        <v>700</v>
      </c>
      <c r="Q16" s="63"/>
      <c r="R16" s="53" t="s">
        <v>185</v>
      </c>
      <c r="S16" s="53" t="s">
        <v>186</v>
      </c>
      <c r="T16" s="53">
        <v>122</v>
      </c>
      <c r="U16" s="64" t="s">
        <v>243</v>
      </c>
      <c r="V16" s="64">
        <v>1</v>
      </c>
      <c r="W16" s="23"/>
      <c r="X16" s="68" t="s">
        <v>82</v>
      </c>
      <c r="Y16" s="69" t="s">
        <v>244</v>
      </c>
      <c r="Z16" s="22"/>
    </row>
    <row r="17" spans="1:26" ht="15" x14ac:dyDescent="0.2">
      <c r="A17" s="32"/>
      <c r="B17" s="24"/>
      <c r="C17" s="35"/>
      <c r="D17" s="35"/>
      <c r="E17" s="42"/>
      <c r="F17" s="35"/>
      <c r="G17" s="35"/>
      <c r="H17" s="35"/>
      <c r="I17" s="35"/>
      <c r="J17" s="35"/>
      <c r="K17" s="35"/>
      <c r="L17" s="36"/>
      <c r="M17" s="40"/>
      <c r="N17" s="23"/>
      <c r="O17" s="39"/>
      <c r="P17" s="36"/>
      <c r="Q17" s="36"/>
      <c r="R17" s="19"/>
      <c r="S17" s="19"/>
      <c r="T17" s="54"/>
      <c r="U17" s="23"/>
      <c r="V17" s="23"/>
      <c r="W17" s="23"/>
      <c r="X17" s="25"/>
      <c r="Y17" s="25"/>
      <c r="Z17" s="22"/>
    </row>
    <row r="18" spans="1:26" ht="15" x14ac:dyDescent="0.2">
      <c r="A18" s="32"/>
      <c r="B18" s="24"/>
      <c r="C18" s="35"/>
      <c r="D18" s="35"/>
      <c r="E18" s="42"/>
      <c r="F18" s="35"/>
      <c r="G18" s="35"/>
      <c r="H18" s="35"/>
      <c r="I18" s="35"/>
      <c r="J18" s="35"/>
      <c r="K18" s="35"/>
      <c r="L18" s="36"/>
      <c r="M18" s="40"/>
      <c r="N18" s="23"/>
      <c r="O18" s="39"/>
      <c r="P18" s="36"/>
      <c r="Q18" s="36"/>
      <c r="R18" s="19"/>
      <c r="S18" s="19"/>
      <c r="T18" s="54"/>
      <c r="U18" s="23"/>
      <c r="V18" s="23"/>
      <c r="W18" s="23"/>
      <c r="X18" s="25"/>
      <c r="Y18" s="25"/>
      <c r="Z18" s="22"/>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M1:M2"/>
    <mergeCell ref="N1:Z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6"/>
  <sheetViews>
    <sheetView zoomScale="80" zoomScaleNormal="80" workbookViewId="0">
      <pane ySplit="3" topLeftCell="A4" activePane="bottomLeft" state="frozen"/>
      <selection pane="bottomLeft" activeCell="M6" sqref="M6"/>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20.85546875" style="30" customWidth="1"/>
    <col min="12" max="12" width="16.710937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75" thickBot="1" x14ac:dyDescent="0.25">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8" thickBot="1" x14ac:dyDescent="0.25">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207" customHeight="1" x14ac:dyDescent="0.2">
      <c r="A4" s="32">
        <v>43970</v>
      </c>
      <c r="B4" s="24">
        <v>15.4</v>
      </c>
      <c r="C4" s="10" t="s">
        <v>100</v>
      </c>
      <c r="D4" s="75" t="s">
        <v>245</v>
      </c>
      <c r="E4" s="78" t="s">
        <v>246</v>
      </c>
      <c r="F4" s="10" t="s">
        <v>247</v>
      </c>
      <c r="G4" s="10" t="s">
        <v>248</v>
      </c>
      <c r="H4" s="10" t="s">
        <v>249</v>
      </c>
      <c r="I4" s="10"/>
      <c r="J4" s="10" t="s">
        <v>105</v>
      </c>
      <c r="K4" s="10" t="s">
        <v>250</v>
      </c>
      <c r="L4" s="28" t="s">
        <v>251</v>
      </c>
      <c r="M4" s="75" t="s">
        <v>252</v>
      </c>
      <c r="N4" s="23" t="s">
        <v>32</v>
      </c>
      <c r="O4" s="39" t="s">
        <v>6</v>
      </c>
      <c r="P4" s="36">
        <v>900</v>
      </c>
      <c r="Q4" s="36"/>
      <c r="R4" s="22" t="s">
        <v>74</v>
      </c>
      <c r="S4" s="22" t="s">
        <v>75</v>
      </c>
      <c r="T4" s="53">
        <v>1</v>
      </c>
      <c r="U4" s="23" t="s">
        <v>76</v>
      </c>
      <c r="V4" s="23">
        <v>6</v>
      </c>
      <c r="W4" s="23"/>
      <c r="X4" s="25" t="s">
        <v>77</v>
      </c>
      <c r="Y4" s="25"/>
      <c r="Z4" s="22"/>
    </row>
    <row r="5" spans="1:26" ht="177" customHeight="1" x14ac:dyDescent="0.2">
      <c r="A5" s="32">
        <v>44075</v>
      </c>
      <c r="B5" s="24">
        <v>17</v>
      </c>
      <c r="C5" s="10" t="s">
        <v>100</v>
      </c>
      <c r="D5" s="75" t="s">
        <v>101</v>
      </c>
      <c r="E5" s="45" t="s">
        <v>213</v>
      </c>
      <c r="F5" s="10" t="s">
        <v>103</v>
      </c>
      <c r="G5" s="10" t="s">
        <v>76</v>
      </c>
      <c r="H5" s="77" t="s">
        <v>214</v>
      </c>
      <c r="I5" s="10">
        <v>17</v>
      </c>
      <c r="J5" s="10" t="s">
        <v>105</v>
      </c>
      <c r="K5" s="10"/>
      <c r="L5" s="75"/>
      <c r="M5" s="48" t="s">
        <v>253</v>
      </c>
      <c r="N5" s="23" t="s">
        <v>32</v>
      </c>
      <c r="O5" s="39" t="s">
        <v>6</v>
      </c>
      <c r="P5" s="36">
        <v>900</v>
      </c>
      <c r="Q5" s="36"/>
      <c r="R5" s="22" t="s">
        <v>80</v>
      </c>
      <c r="S5" s="22" t="s">
        <v>81</v>
      </c>
      <c r="T5" s="53">
        <v>7</v>
      </c>
      <c r="U5" s="23" t="s">
        <v>76</v>
      </c>
      <c r="V5" s="23">
        <v>18</v>
      </c>
      <c r="W5" s="23"/>
      <c r="X5" s="25" t="s">
        <v>77</v>
      </c>
      <c r="Y5" s="25"/>
      <c r="Z5" s="22"/>
    </row>
    <row r="6" spans="1:26" ht="38.25" x14ac:dyDescent="0.2">
      <c r="A6" s="32">
        <v>43970</v>
      </c>
      <c r="B6" s="24">
        <v>15.4</v>
      </c>
      <c r="C6" s="10"/>
      <c r="D6" s="10"/>
      <c r="E6" s="44"/>
      <c r="F6" s="19"/>
      <c r="G6" s="19"/>
      <c r="H6" s="19"/>
      <c r="I6" s="20"/>
      <c r="J6" s="20"/>
      <c r="K6" s="10"/>
      <c r="L6" s="19"/>
      <c r="M6" s="10" t="s">
        <v>254</v>
      </c>
      <c r="N6" s="23" t="s">
        <v>32</v>
      </c>
      <c r="O6" s="39" t="s">
        <v>6</v>
      </c>
      <c r="P6" s="36">
        <v>900</v>
      </c>
      <c r="Q6" s="36"/>
      <c r="R6" s="22" t="s">
        <v>85</v>
      </c>
      <c r="S6" s="22" t="s">
        <v>86</v>
      </c>
      <c r="T6" s="53">
        <v>25</v>
      </c>
      <c r="U6" s="23" t="s">
        <v>76</v>
      </c>
      <c r="V6" s="23">
        <v>3</v>
      </c>
      <c r="W6" s="23"/>
      <c r="X6" s="25" t="s">
        <v>77</v>
      </c>
      <c r="Y6" s="25"/>
      <c r="Z6" s="22" t="s">
        <v>255</v>
      </c>
    </row>
    <row r="7" spans="1:26" ht="63.75" x14ac:dyDescent="0.2">
      <c r="A7" s="32">
        <v>43970</v>
      </c>
      <c r="B7" s="24">
        <v>15.4</v>
      </c>
      <c r="C7" s="10" t="s">
        <v>100</v>
      </c>
      <c r="D7" s="75" t="s">
        <v>109</v>
      </c>
      <c r="E7" s="45" t="s">
        <v>110</v>
      </c>
      <c r="F7" s="10" t="s">
        <v>111</v>
      </c>
      <c r="G7" s="10" t="s">
        <v>112</v>
      </c>
      <c r="H7" s="10" t="s">
        <v>113</v>
      </c>
      <c r="I7" s="10"/>
      <c r="J7" s="10" t="s">
        <v>105</v>
      </c>
      <c r="K7" s="10"/>
      <c r="L7" s="19"/>
      <c r="M7" s="19"/>
      <c r="N7" s="23" t="s">
        <v>32</v>
      </c>
      <c r="O7" s="39" t="s">
        <v>6</v>
      </c>
      <c r="P7" s="36">
        <v>900</v>
      </c>
      <c r="Q7" s="36"/>
      <c r="R7" s="22" t="s">
        <v>89</v>
      </c>
      <c r="S7" s="22" t="s">
        <v>90</v>
      </c>
      <c r="T7" s="53">
        <v>28</v>
      </c>
      <c r="U7" s="23" t="s">
        <v>91</v>
      </c>
      <c r="V7" s="23">
        <v>8</v>
      </c>
      <c r="W7" s="23" t="s">
        <v>92</v>
      </c>
      <c r="X7" s="25" t="s">
        <v>77</v>
      </c>
      <c r="Y7" s="25"/>
      <c r="Z7" s="22"/>
    </row>
    <row r="8" spans="1:26" ht="195.75" customHeight="1" x14ac:dyDescent="0.2">
      <c r="A8" s="32">
        <v>43970</v>
      </c>
      <c r="B8" s="24">
        <v>15.4</v>
      </c>
      <c r="C8" s="10" t="s">
        <v>100</v>
      </c>
      <c r="D8" s="75" t="s">
        <v>109</v>
      </c>
      <c r="E8" s="45" t="s">
        <v>256</v>
      </c>
      <c r="F8" s="10" t="s">
        <v>257</v>
      </c>
      <c r="G8" s="10" t="s">
        <v>258</v>
      </c>
      <c r="H8" s="10" t="s">
        <v>259</v>
      </c>
      <c r="I8" s="10"/>
      <c r="J8" s="10" t="s">
        <v>105</v>
      </c>
      <c r="K8" s="10"/>
      <c r="L8" s="36"/>
      <c r="M8" s="40" t="s">
        <v>260</v>
      </c>
      <c r="N8" s="23" t="s">
        <v>32</v>
      </c>
      <c r="O8" s="39" t="s">
        <v>6</v>
      </c>
      <c r="P8" s="36">
        <v>900</v>
      </c>
      <c r="Q8" s="36"/>
      <c r="R8" s="22" t="s">
        <v>261</v>
      </c>
      <c r="S8" s="22" t="s">
        <v>262</v>
      </c>
      <c r="T8" s="53">
        <v>36</v>
      </c>
      <c r="U8" s="23" t="s">
        <v>96</v>
      </c>
      <c r="V8" s="23">
        <v>18</v>
      </c>
      <c r="W8" s="23" t="s">
        <v>159</v>
      </c>
      <c r="X8" s="25" t="s">
        <v>77</v>
      </c>
      <c r="Y8" s="25"/>
      <c r="Z8" s="22"/>
    </row>
    <row r="9" spans="1:26" ht="15" x14ac:dyDescent="0.2">
      <c r="A9" s="32"/>
      <c r="B9" s="24"/>
      <c r="C9" s="35"/>
      <c r="D9" s="35"/>
      <c r="E9" s="42"/>
      <c r="F9" s="35"/>
      <c r="G9" s="35"/>
      <c r="H9" s="35"/>
      <c r="I9" s="35"/>
      <c r="J9" s="35"/>
      <c r="K9" s="35"/>
      <c r="L9" s="47"/>
      <c r="M9" s="40"/>
      <c r="N9" s="23"/>
      <c r="O9" s="39"/>
      <c r="P9" s="36"/>
      <c r="Q9" s="36"/>
      <c r="R9" s="22"/>
      <c r="S9" s="22"/>
      <c r="T9" s="53"/>
      <c r="U9" s="23"/>
      <c r="V9" s="23"/>
      <c r="W9" s="46"/>
      <c r="X9" s="37"/>
      <c r="Y9" s="37"/>
      <c r="Z9" s="22"/>
    </row>
    <row r="10" spans="1:26" ht="15" x14ac:dyDescent="0.2">
      <c r="A10" s="32"/>
      <c r="B10" s="24"/>
      <c r="C10" s="35"/>
      <c r="D10" s="35"/>
      <c r="E10" s="42"/>
      <c r="F10" s="35"/>
      <c r="G10" s="35"/>
      <c r="H10" s="35"/>
      <c r="I10" s="35"/>
      <c r="J10" s="35"/>
      <c r="K10" s="35"/>
      <c r="L10" s="47"/>
      <c r="M10" s="40"/>
      <c r="N10" s="23"/>
      <c r="O10" s="39"/>
      <c r="P10" s="36"/>
      <c r="Q10" s="36"/>
      <c r="R10" s="22"/>
      <c r="S10" s="22"/>
      <c r="T10" s="53"/>
      <c r="U10" s="23"/>
      <c r="V10" s="23"/>
      <c r="W10" s="23"/>
      <c r="X10" s="37"/>
      <c r="Y10" s="25"/>
      <c r="Z10" s="22"/>
    </row>
    <row r="11" spans="1:26" ht="15" x14ac:dyDescent="0.2">
      <c r="A11" s="32"/>
      <c r="B11" s="24"/>
      <c r="C11" s="10"/>
      <c r="D11" s="10"/>
      <c r="E11" s="42"/>
      <c r="F11" s="10"/>
      <c r="G11" s="10"/>
      <c r="H11" s="10"/>
      <c r="I11" s="10"/>
      <c r="J11" s="10"/>
      <c r="K11" s="10"/>
      <c r="L11" s="47"/>
      <c r="M11" s="40"/>
      <c r="N11" s="23"/>
      <c r="O11" s="39"/>
      <c r="P11" s="36"/>
      <c r="Q11" s="36"/>
      <c r="R11" s="22"/>
      <c r="S11" s="22"/>
      <c r="T11" s="53"/>
      <c r="U11" s="23"/>
      <c r="V11" s="23"/>
      <c r="W11" s="23"/>
      <c r="X11" s="37"/>
      <c r="Y11" s="25"/>
      <c r="Z11" s="53"/>
    </row>
    <row r="12" spans="1:26" ht="15" x14ac:dyDescent="0.2">
      <c r="A12" s="32"/>
      <c r="B12" s="24"/>
      <c r="C12" s="10"/>
      <c r="D12" s="10"/>
      <c r="E12" s="42"/>
      <c r="F12" s="10"/>
      <c r="G12" s="10"/>
      <c r="H12" s="10"/>
      <c r="I12" s="35"/>
      <c r="J12" s="35"/>
      <c r="K12" s="10"/>
      <c r="L12" s="47"/>
      <c r="M12" s="40"/>
      <c r="N12" s="23"/>
      <c r="O12" s="39"/>
      <c r="P12" s="36"/>
      <c r="Q12" s="36"/>
      <c r="R12" s="22"/>
      <c r="S12" s="22"/>
      <c r="T12" s="53"/>
      <c r="U12" s="23"/>
      <c r="V12" s="23"/>
      <c r="W12" s="23"/>
      <c r="X12" s="37"/>
      <c r="Y12" s="25"/>
      <c r="Z12" s="53"/>
    </row>
    <row r="13" spans="1:26" ht="15" x14ac:dyDescent="0.2">
      <c r="A13" s="32"/>
      <c r="B13" s="24"/>
      <c r="C13" s="35"/>
      <c r="D13" s="35"/>
      <c r="E13" s="42"/>
      <c r="F13" s="35"/>
      <c r="G13" s="35"/>
      <c r="H13" s="35"/>
      <c r="I13" s="35"/>
      <c r="J13" s="35"/>
      <c r="K13" s="35"/>
      <c r="L13" s="47"/>
      <c r="M13" s="40"/>
      <c r="N13" s="23"/>
      <c r="O13" s="39"/>
      <c r="P13" s="36"/>
      <c r="Q13" s="36"/>
      <c r="R13" s="22"/>
      <c r="S13" s="22"/>
      <c r="T13" s="53"/>
      <c r="U13" s="23"/>
      <c r="V13" s="23"/>
      <c r="W13" s="23"/>
      <c r="X13" s="37"/>
      <c r="Y13" s="25"/>
      <c r="Z13" s="22"/>
    </row>
    <row r="14" spans="1:26" ht="15" x14ac:dyDescent="0.2">
      <c r="A14" s="32"/>
      <c r="B14" s="24"/>
      <c r="C14" s="35"/>
      <c r="D14" s="35"/>
      <c r="E14" s="42"/>
      <c r="F14" s="35"/>
      <c r="G14" s="35"/>
      <c r="H14" s="35"/>
      <c r="I14" s="35"/>
      <c r="J14" s="35"/>
      <c r="K14" s="35"/>
      <c r="L14" s="47"/>
      <c r="M14" s="40"/>
      <c r="N14" s="23"/>
      <c r="O14" s="39"/>
      <c r="P14" s="36"/>
      <c r="Q14" s="36"/>
      <c r="R14" s="22"/>
      <c r="S14" s="22"/>
      <c r="T14" s="53"/>
      <c r="U14" s="23"/>
      <c r="V14" s="23"/>
      <c r="W14" s="23"/>
      <c r="X14" s="37"/>
      <c r="Y14" s="25"/>
      <c r="Z14" s="22"/>
    </row>
    <row r="15" spans="1:26" ht="15" x14ac:dyDescent="0.2">
      <c r="A15" s="32"/>
      <c r="B15" s="24"/>
      <c r="C15" s="35"/>
      <c r="D15" s="35"/>
      <c r="E15" s="42"/>
      <c r="F15" s="35"/>
      <c r="G15" s="35"/>
      <c r="H15" s="35"/>
      <c r="I15" s="35"/>
      <c r="J15" s="35"/>
      <c r="K15" s="35"/>
      <c r="L15" s="47"/>
      <c r="M15" s="40"/>
      <c r="N15" s="23"/>
      <c r="O15" s="39"/>
      <c r="P15" s="36"/>
      <c r="Q15" s="36"/>
      <c r="R15" s="22"/>
      <c r="S15" s="22"/>
      <c r="T15" s="53"/>
      <c r="U15" s="23"/>
      <c r="V15" s="23"/>
      <c r="W15" s="23"/>
      <c r="X15" s="37"/>
      <c r="Y15" s="25"/>
      <c r="Z15" s="22"/>
    </row>
    <row r="16" spans="1:26" ht="15" x14ac:dyDescent="0.2">
      <c r="A16" s="32"/>
      <c r="B16" s="24"/>
      <c r="C16" s="10"/>
      <c r="D16" s="35"/>
      <c r="E16" s="42"/>
      <c r="F16" s="35"/>
      <c r="G16" s="35"/>
      <c r="H16" s="35"/>
      <c r="I16" s="35"/>
      <c r="J16" s="35"/>
      <c r="K16" s="35"/>
      <c r="L16" s="47"/>
      <c r="M16" s="40"/>
      <c r="N16" s="23"/>
      <c r="O16" s="39"/>
      <c r="P16" s="63"/>
      <c r="Q16" s="63"/>
      <c r="R16" s="53"/>
      <c r="S16" s="53"/>
      <c r="T16" s="53"/>
      <c r="U16" s="64"/>
      <c r="V16" s="64"/>
      <c r="W16" s="23"/>
      <c r="X16" s="68"/>
      <c r="Y16" s="69"/>
      <c r="Z16" s="22"/>
    </row>
    <row r="17" spans="1:26" ht="15" x14ac:dyDescent="0.2">
      <c r="A17" s="32"/>
      <c r="B17" s="24"/>
      <c r="C17" s="35"/>
      <c r="D17" s="35"/>
      <c r="E17" s="42"/>
      <c r="F17" s="35"/>
      <c r="G17" s="35"/>
      <c r="H17" s="35"/>
      <c r="I17" s="35"/>
      <c r="J17" s="35"/>
      <c r="K17" s="35"/>
      <c r="L17" s="36"/>
      <c r="M17" s="40"/>
      <c r="N17" s="23"/>
      <c r="O17" s="39"/>
      <c r="P17" s="36"/>
      <c r="Q17" s="36"/>
      <c r="R17" s="19"/>
      <c r="S17" s="19"/>
      <c r="T17" s="54"/>
      <c r="U17" s="23"/>
      <c r="V17" s="23"/>
      <c r="W17" s="23"/>
      <c r="X17" s="25"/>
      <c r="Y17" s="25"/>
      <c r="Z17" s="22"/>
    </row>
    <row r="18" spans="1:26" ht="15" x14ac:dyDescent="0.2">
      <c r="A18" s="32"/>
      <c r="B18" s="24"/>
      <c r="C18" s="35"/>
      <c r="D18" s="35"/>
      <c r="E18" s="42"/>
      <c r="F18" s="35"/>
      <c r="G18" s="35"/>
      <c r="H18" s="35"/>
      <c r="I18" s="35"/>
      <c r="J18" s="35"/>
      <c r="K18" s="35"/>
      <c r="L18" s="36"/>
      <c r="M18" s="40"/>
      <c r="N18" s="23"/>
      <c r="O18" s="39"/>
      <c r="P18" s="36"/>
      <c r="Q18" s="36"/>
      <c r="R18" s="19"/>
      <c r="S18" s="19"/>
      <c r="T18" s="54"/>
      <c r="U18" s="23"/>
      <c r="V18" s="23"/>
      <c r="W18" s="23"/>
      <c r="X18" s="25"/>
      <c r="Y18" s="25"/>
      <c r="Z18" s="22"/>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M1:M2"/>
    <mergeCell ref="N1:Z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6"/>
  <sheetViews>
    <sheetView zoomScale="80" zoomScaleNormal="80" workbookViewId="0">
      <selection activeCell="N4" sqref="N4"/>
    </sheetView>
  </sheetViews>
  <sheetFormatPr defaultColWidth="9.140625" defaultRowHeight="12.75" x14ac:dyDescent="0.2"/>
  <cols>
    <col min="1" max="1" width="12.28515625" customWidth="1"/>
    <col min="2" max="2" width="10" customWidth="1"/>
    <col min="3" max="3" width="15" customWidth="1"/>
    <col min="4" max="4" width="16.140625" customWidth="1"/>
    <col min="5" max="5" width="20.140625" customWidth="1"/>
    <col min="6" max="6" width="26.7109375" customWidth="1"/>
    <col min="7" max="7" width="14.7109375" bestFit="1" customWidth="1"/>
    <col min="8" max="8" width="12.42578125" bestFit="1" customWidth="1"/>
    <col min="9" max="9" width="11.140625" bestFit="1" customWidth="1"/>
    <col min="10" max="10" width="13.7109375" customWidth="1"/>
    <col min="11" max="11" width="18.42578125" style="30" customWidth="1"/>
    <col min="12" max="12" width="16.7109375" style="30" customWidth="1"/>
    <col min="13" max="13" width="44.140625" style="30" bestFit="1" customWidth="1"/>
    <col min="14" max="14" width="15.28515625" bestFit="1" customWidth="1"/>
    <col min="15" max="15" width="15" bestFit="1" customWidth="1"/>
    <col min="16" max="16" width="11.28515625" style="30" customWidth="1"/>
    <col min="17" max="17" width="14.140625" style="30" hidden="1" customWidth="1"/>
    <col min="18" max="18" width="21.28515625" style="30" customWidth="1"/>
    <col min="19" max="19" width="18" style="30" customWidth="1"/>
    <col min="20" max="20" width="18" style="56" customWidth="1"/>
    <col min="21" max="21" width="15.85546875" bestFit="1" customWidth="1"/>
    <col min="22" max="22" width="9.140625" customWidth="1"/>
    <col min="23" max="23" width="14" bestFit="1" customWidth="1"/>
    <col min="24" max="24" width="15.140625" style="11" customWidth="1"/>
    <col min="25" max="25" width="22.5703125" customWidth="1"/>
    <col min="26" max="26" width="38.5703125" customWidth="1"/>
  </cols>
  <sheetData>
    <row r="1" spans="1:26" ht="18.75" thickBot="1" x14ac:dyDescent="0.25">
      <c r="A1" s="1"/>
      <c r="B1" s="1"/>
      <c r="C1" s="85" t="s">
        <v>33</v>
      </c>
      <c r="D1" s="85"/>
      <c r="E1" s="85"/>
      <c r="F1" s="85"/>
      <c r="G1" s="85"/>
      <c r="H1" s="85"/>
      <c r="I1" s="85"/>
      <c r="J1" s="85"/>
      <c r="K1" s="86"/>
      <c r="L1" s="87" t="s">
        <v>34</v>
      </c>
      <c r="M1" s="89" t="s">
        <v>35</v>
      </c>
      <c r="N1" s="91" t="s">
        <v>36</v>
      </c>
      <c r="O1" s="92"/>
      <c r="P1" s="92"/>
      <c r="Q1" s="92"/>
      <c r="R1" s="92"/>
      <c r="S1" s="92"/>
      <c r="T1" s="93"/>
      <c r="U1" s="92"/>
      <c r="V1" s="92"/>
      <c r="W1" s="92"/>
      <c r="X1" s="92"/>
      <c r="Y1" s="92"/>
      <c r="Z1" s="94"/>
    </row>
    <row r="2" spans="1:26" ht="48" thickBot="1" x14ac:dyDescent="0.25">
      <c r="A2" s="2" t="s">
        <v>37</v>
      </c>
      <c r="B2" s="2" t="s">
        <v>38</v>
      </c>
      <c r="C2" s="3" t="s">
        <v>39</v>
      </c>
      <c r="D2" s="3" t="s">
        <v>40</v>
      </c>
      <c r="E2" s="3" t="s">
        <v>41</v>
      </c>
      <c r="F2" s="3" t="s">
        <v>42</v>
      </c>
      <c r="G2" s="3" t="s">
        <v>43</v>
      </c>
      <c r="H2" s="3" t="s">
        <v>44</v>
      </c>
      <c r="I2" s="3" t="s">
        <v>45</v>
      </c>
      <c r="J2" s="3" t="s">
        <v>46</v>
      </c>
      <c r="K2" s="3" t="s">
        <v>47</v>
      </c>
      <c r="L2" s="88"/>
      <c r="M2" s="90"/>
      <c r="N2" s="4" t="s">
        <v>48</v>
      </c>
      <c r="O2" s="4" t="s">
        <v>40</v>
      </c>
      <c r="P2" s="4" t="s">
        <v>49</v>
      </c>
      <c r="Q2" s="4" t="s">
        <v>50</v>
      </c>
      <c r="R2" s="4" t="s">
        <v>41</v>
      </c>
      <c r="S2" s="4" t="s">
        <v>42</v>
      </c>
      <c r="T2" s="4" t="s">
        <v>44</v>
      </c>
      <c r="U2" s="4" t="s">
        <v>51</v>
      </c>
      <c r="V2" s="4" t="s">
        <v>45</v>
      </c>
      <c r="W2" s="4" t="s">
        <v>52</v>
      </c>
      <c r="X2" s="4" t="s">
        <v>53</v>
      </c>
      <c r="Y2" s="4" t="s">
        <v>47</v>
      </c>
      <c r="Z2" s="4" t="s">
        <v>54</v>
      </c>
    </row>
    <row r="3" spans="1:26" ht="0.75" customHeight="1" thickBot="1" x14ac:dyDescent="0.25">
      <c r="A3" s="5" t="s">
        <v>55</v>
      </c>
      <c r="B3" s="5" t="s">
        <v>56</v>
      </c>
      <c r="C3" s="6" t="s">
        <v>57</v>
      </c>
      <c r="D3" s="6" t="s">
        <v>58</v>
      </c>
      <c r="E3" s="6" t="s">
        <v>59</v>
      </c>
      <c r="F3" s="6" t="s">
        <v>60</v>
      </c>
      <c r="G3" s="6" t="s">
        <v>61</v>
      </c>
      <c r="H3" s="6" t="s">
        <v>62</v>
      </c>
      <c r="I3" s="6"/>
      <c r="J3" s="6"/>
      <c r="K3" s="6" t="s">
        <v>63</v>
      </c>
      <c r="L3" s="43"/>
      <c r="M3" s="7" t="s">
        <v>64</v>
      </c>
      <c r="N3" s="8" t="s">
        <v>65</v>
      </c>
      <c r="O3" s="8" t="s">
        <v>66</v>
      </c>
      <c r="P3" s="8" t="s">
        <v>67</v>
      </c>
      <c r="Q3" s="8" t="s">
        <v>68</v>
      </c>
      <c r="R3" s="8" t="s">
        <v>69</v>
      </c>
      <c r="S3" s="8" t="s">
        <v>70</v>
      </c>
      <c r="T3" s="71"/>
      <c r="U3" s="8" t="s">
        <v>71</v>
      </c>
      <c r="V3" s="8" t="s">
        <v>62</v>
      </c>
      <c r="W3" s="8"/>
      <c r="X3" s="8"/>
      <c r="Y3" s="8" t="s">
        <v>72</v>
      </c>
      <c r="Z3" s="9"/>
    </row>
    <row r="4" spans="1:26" ht="290.25" customHeight="1" x14ac:dyDescent="0.2">
      <c r="A4" s="32">
        <v>43970</v>
      </c>
      <c r="B4" s="24">
        <v>15.4</v>
      </c>
      <c r="C4" s="10" t="s">
        <v>100</v>
      </c>
      <c r="D4" s="75" t="s">
        <v>109</v>
      </c>
      <c r="E4" s="78" t="s">
        <v>263</v>
      </c>
      <c r="F4" s="10"/>
      <c r="G4" s="10" t="s">
        <v>264</v>
      </c>
      <c r="H4" s="10" t="s">
        <v>265</v>
      </c>
      <c r="I4" s="10"/>
      <c r="J4" s="10" t="s">
        <v>105</v>
      </c>
      <c r="K4" s="10" t="s">
        <v>250</v>
      </c>
      <c r="L4" s="28"/>
      <c r="M4" s="75" t="s">
        <v>266</v>
      </c>
      <c r="N4" s="26"/>
      <c r="O4" s="26"/>
      <c r="P4" s="73" t="s">
        <v>267</v>
      </c>
      <c r="Q4" s="28"/>
      <c r="R4" s="22" t="s">
        <v>74</v>
      </c>
      <c r="S4" s="22" t="s">
        <v>75</v>
      </c>
      <c r="T4" s="60">
        <v>1</v>
      </c>
      <c r="U4" s="23" t="s">
        <v>76</v>
      </c>
      <c r="V4" s="23">
        <v>6</v>
      </c>
      <c r="W4" s="22"/>
      <c r="X4" s="25" t="s">
        <v>77</v>
      </c>
      <c r="Y4" s="25"/>
      <c r="Z4" s="22"/>
    </row>
    <row r="5" spans="1:26" ht="186.75" customHeight="1" x14ac:dyDescent="0.2">
      <c r="A5" s="32">
        <v>44075</v>
      </c>
      <c r="B5" s="24">
        <v>17</v>
      </c>
      <c r="C5" s="10" t="s">
        <v>100</v>
      </c>
      <c r="D5" s="75" t="s">
        <v>101</v>
      </c>
      <c r="E5" s="45" t="s">
        <v>213</v>
      </c>
      <c r="F5" s="10" t="s">
        <v>103</v>
      </c>
      <c r="G5" s="10" t="s">
        <v>76</v>
      </c>
      <c r="H5" s="77" t="s">
        <v>214</v>
      </c>
      <c r="I5" s="10">
        <v>17</v>
      </c>
      <c r="J5" s="10" t="s">
        <v>105</v>
      </c>
      <c r="K5" s="10"/>
      <c r="L5" s="75"/>
      <c r="M5" s="50" t="s">
        <v>268</v>
      </c>
      <c r="N5" s="26"/>
      <c r="O5" s="26"/>
      <c r="P5" s="73" t="s">
        <v>267</v>
      </c>
      <c r="Q5" s="28"/>
      <c r="R5" s="22" t="s">
        <v>80</v>
      </c>
      <c r="S5" s="22" t="s">
        <v>81</v>
      </c>
      <c r="T5" s="60">
        <f>T4+V4</f>
        <v>7</v>
      </c>
      <c r="U5" s="23" t="s">
        <v>76</v>
      </c>
      <c r="V5" s="23">
        <v>18</v>
      </c>
      <c r="W5" s="22"/>
      <c r="X5" s="25" t="s">
        <v>77</v>
      </c>
      <c r="Y5" s="25"/>
      <c r="Z5" s="22"/>
    </row>
    <row r="6" spans="1:26" ht="30" x14ac:dyDescent="0.2">
      <c r="A6" s="32">
        <v>43970</v>
      </c>
      <c r="B6" s="24">
        <v>15.4</v>
      </c>
      <c r="C6" s="26"/>
      <c r="D6" s="26"/>
      <c r="E6" s="26"/>
      <c r="F6" s="26"/>
      <c r="G6" s="26"/>
      <c r="H6" s="26"/>
      <c r="I6" s="26"/>
      <c r="J6" s="26"/>
      <c r="K6" s="26"/>
      <c r="L6" s="28"/>
      <c r="M6" s="10" t="s">
        <v>269</v>
      </c>
      <c r="N6" s="26"/>
      <c r="O6" s="26"/>
      <c r="P6" s="73" t="s">
        <v>267</v>
      </c>
      <c r="Q6" s="28"/>
      <c r="R6" s="22" t="s">
        <v>85</v>
      </c>
      <c r="S6" s="22" t="s">
        <v>86</v>
      </c>
      <c r="T6" s="60">
        <f>T5+V5</f>
        <v>25</v>
      </c>
      <c r="U6" s="23" t="s">
        <v>76</v>
      </c>
      <c r="V6" s="23">
        <v>3</v>
      </c>
      <c r="W6" s="22"/>
      <c r="X6" s="25" t="s">
        <v>77</v>
      </c>
      <c r="Y6" s="25"/>
      <c r="Z6" s="22" t="s">
        <v>270</v>
      </c>
    </row>
    <row r="7" spans="1:26" ht="81.75" customHeight="1" x14ac:dyDescent="0.2">
      <c r="A7" s="32">
        <v>43970</v>
      </c>
      <c r="B7" s="24">
        <v>15.4</v>
      </c>
      <c r="C7" s="26"/>
      <c r="D7" s="26"/>
      <c r="E7" s="26"/>
      <c r="F7" s="26"/>
      <c r="G7" s="26"/>
      <c r="H7" s="26"/>
      <c r="I7" s="26"/>
      <c r="J7" s="26"/>
      <c r="K7" s="26"/>
      <c r="L7" s="28"/>
      <c r="M7" s="19" t="s">
        <v>271</v>
      </c>
      <c r="N7" s="26"/>
      <c r="O7" s="26"/>
      <c r="P7" s="73" t="s">
        <v>267</v>
      </c>
      <c r="Q7" s="28"/>
      <c r="R7" s="22" t="s">
        <v>89</v>
      </c>
      <c r="S7" s="22" t="s">
        <v>90</v>
      </c>
      <c r="T7" s="60">
        <f>T6+V6</f>
        <v>28</v>
      </c>
      <c r="U7" s="23" t="s">
        <v>91</v>
      </c>
      <c r="V7" s="23">
        <v>8</v>
      </c>
      <c r="W7" s="22" t="s">
        <v>92</v>
      </c>
      <c r="X7" s="25" t="s">
        <v>77</v>
      </c>
      <c r="Y7" s="25"/>
      <c r="Z7" s="22"/>
    </row>
    <row r="8" spans="1:26" ht="15" x14ac:dyDescent="0.2">
      <c r="A8" s="32"/>
      <c r="B8" s="24"/>
      <c r="C8" s="35"/>
      <c r="D8" s="44"/>
      <c r="E8" s="44"/>
      <c r="F8" s="35"/>
      <c r="G8" s="35"/>
      <c r="H8" s="35"/>
      <c r="I8" s="20"/>
      <c r="J8" s="20"/>
      <c r="K8" s="20"/>
      <c r="L8" s="40"/>
      <c r="M8" s="19"/>
      <c r="N8" s="23"/>
      <c r="O8" s="39"/>
      <c r="P8" s="36"/>
      <c r="Q8" s="36"/>
      <c r="R8" s="22"/>
      <c r="S8" s="22"/>
      <c r="T8" s="53"/>
      <c r="U8" s="23"/>
      <c r="V8" s="23"/>
      <c r="W8" s="23"/>
      <c r="X8" s="25"/>
      <c r="Y8" s="25"/>
      <c r="Z8" s="22"/>
    </row>
    <row r="9" spans="1:26" ht="15" x14ac:dyDescent="0.2">
      <c r="A9" s="32"/>
      <c r="B9" s="24"/>
      <c r="C9" s="35"/>
      <c r="D9" s="35"/>
      <c r="E9" s="44"/>
      <c r="F9" s="35"/>
      <c r="G9" s="35"/>
      <c r="H9" s="35"/>
      <c r="I9" s="20"/>
      <c r="J9" s="20"/>
      <c r="K9" s="20"/>
      <c r="L9" s="19"/>
      <c r="M9" s="19"/>
      <c r="N9" s="23"/>
      <c r="O9" s="39"/>
      <c r="P9" s="36"/>
      <c r="Q9" s="36"/>
      <c r="R9" s="22"/>
      <c r="S9" s="22"/>
      <c r="T9" s="53"/>
      <c r="U9" s="23"/>
      <c r="V9" s="23"/>
      <c r="W9" s="46"/>
      <c r="X9" s="37"/>
      <c r="Y9" s="37"/>
      <c r="Z9" s="22"/>
    </row>
    <row r="10" spans="1:26" ht="15" x14ac:dyDescent="0.2">
      <c r="A10" s="32"/>
      <c r="B10" s="24"/>
      <c r="C10" s="10"/>
      <c r="D10" s="52"/>
      <c r="E10" s="10"/>
      <c r="F10" s="10"/>
      <c r="G10" s="19"/>
      <c r="H10" s="19"/>
      <c r="I10" s="19"/>
      <c r="J10" s="20"/>
      <c r="K10" s="20"/>
      <c r="L10" s="75"/>
      <c r="M10" s="75"/>
      <c r="N10" s="23"/>
      <c r="O10" s="39"/>
      <c r="P10" s="36"/>
      <c r="Q10" s="36"/>
      <c r="R10" s="22"/>
      <c r="S10" s="22"/>
      <c r="T10" s="53"/>
      <c r="U10" s="23"/>
      <c r="V10" s="23"/>
      <c r="W10" s="23"/>
      <c r="X10" s="25"/>
      <c r="Y10" s="25"/>
      <c r="Z10" s="22"/>
    </row>
    <row r="11" spans="1:26" ht="15" x14ac:dyDescent="0.2">
      <c r="A11" s="32"/>
      <c r="B11" s="24"/>
      <c r="C11" s="10"/>
      <c r="D11" s="52"/>
      <c r="E11" s="10"/>
      <c r="F11" s="10"/>
      <c r="G11" s="19"/>
      <c r="H11" s="19"/>
      <c r="I11" s="19"/>
      <c r="J11" s="20"/>
      <c r="K11" s="20"/>
      <c r="L11" s="75"/>
      <c r="M11" s="75"/>
      <c r="N11" s="23"/>
      <c r="O11" s="39"/>
      <c r="P11" s="36"/>
      <c r="Q11" s="36"/>
      <c r="R11" s="22"/>
      <c r="S11" s="22"/>
      <c r="T11" s="53"/>
      <c r="U11" s="23"/>
      <c r="V11" s="23"/>
      <c r="W11" s="23"/>
      <c r="X11" s="25"/>
      <c r="Y11" s="25"/>
      <c r="Z11" s="22"/>
    </row>
    <row r="12" spans="1:26" x14ac:dyDescent="0.2">
      <c r="A12" s="26"/>
      <c r="B12" s="26"/>
      <c r="C12" s="26"/>
      <c r="D12" s="26"/>
      <c r="E12" s="26"/>
      <c r="F12" s="26"/>
      <c r="G12" s="26"/>
      <c r="H12" s="26"/>
      <c r="I12" s="26"/>
      <c r="J12" s="26"/>
      <c r="K12" s="28"/>
      <c r="L12" s="28"/>
      <c r="M12" s="28"/>
      <c r="N12" s="26"/>
      <c r="O12" s="26"/>
      <c r="P12" s="28"/>
      <c r="Q12" s="28"/>
      <c r="R12" s="28"/>
      <c r="S12" s="28"/>
      <c r="T12" s="60"/>
      <c r="U12" s="26"/>
      <c r="V12" s="26"/>
      <c r="W12" s="26"/>
      <c r="X12" s="20"/>
      <c r="Y12" s="26"/>
      <c r="Z12" s="26"/>
    </row>
    <row r="13" spans="1:26" x14ac:dyDescent="0.2">
      <c r="A13" s="26"/>
      <c r="B13" s="26"/>
      <c r="C13" s="26"/>
      <c r="D13" s="26"/>
      <c r="E13" s="26"/>
      <c r="F13" s="26"/>
      <c r="G13" s="26"/>
      <c r="H13" s="26"/>
      <c r="I13" s="26"/>
      <c r="J13" s="26"/>
      <c r="K13" s="28"/>
      <c r="L13" s="28"/>
      <c r="M13" s="28"/>
      <c r="N13" s="26"/>
      <c r="O13" s="26"/>
      <c r="P13" s="28"/>
      <c r="Q13" s="28"/>
      <c r="R13" s="28"/>
      <c r="S13" s="28"/>
      <c r="T13" s="60"/>
      <c r="U13" s="26"/>
      <c r="V13" s="26"/>
      <c r="W13" s="26"/>
      <c r="X13" s="20"/>
      <c r="Y13" s="26"/>
      <c r="Z13" s="26"/>
    </row>
    <row r="14" spans="1:26" x14ac:dyDescent="0.2">
      <c r="A14" s="26"/>
      <c r="B14" s="26"/>
      <c r="C14" s="26"/>
      <c r="D14" s="26"/>
      <c r="E14" s="26"/>
      <c r="F14" s="26"/>
      <c r="G14" s="26"/>
      <c r="H14" s="26"/>
      <c r="I14" s="26"/>
      <c r="J14" s="26"/>
      <c r="K14" s="28"/>
      <c r="L14" s="28"/>
      <c r="M14" s="28"/>
      <c r="N14" s="26"/>
      <c r="O14" s="26"/>
      <c r="P14" s="28"/>
      <c r="Q14" s="28"/>
      <c r="R14" s="28"/>
      <c r="S14" s="28"/>
      <c r="T14" s="60"/>
      <c r="U14" s="26"/>
      <c r="V14" s="26"/>
      <c r="W14" s="26"/>
      <c r="X14" s="20"/>
      <c r="Y14" s="26"/>
      <c r="Z14" s="26"/>
    </row>
    <row r="15" spans="1:26" x14ac:dyDescent="0.2">
      <c r="A15" s="26"/>
      <c r="B15" s="26"/>
      <c r="C15" s="26"/>
      <c r="D15" s="26"/>
      <c r="E15" s="26"/>
      <c r="F15" s="26"/>
      <c r="G15" s="26"/>
      <c r="H15" s="26"/>
      <c r="I15" s="26"/>
      <c r="J15" s="26"/>
      <c r="K15" s="28"/>
      <c r="L15" s="28"/>
      <c r="M15" s="28"/>
      <c r="N15" s="26"/>
      <c r="O15" s="26"/>
      <c r="P15" s="28"/>
      <c r="Q15" s="28"/>
      <c r="R15" s="28"/>
      <c r="S15" s="28"/>
      <c r="T15" s="60"/>
      <c r="U15" s="26"/>
      <c r="V15" s="26"/>
      <c r="W15" s="26"/>
      <c r="X15" s="20"/>
      <c r="Y15" s="26"/>
      <c r="Z15" s="26"/>
    </row>
    <row r="16" spans="1:26" x14ac:dyDescent="0.2">
      <c r="A16" s="26"/>
      <c r="B16" s="26"/>
      <c r="C16" s="26"/>
      <c r="D16" s="26"/>
      <c r="E16" s="26"/>
      <c r="F16" s="26"/>
      <c r="G16" s="26"/>
      <c r="H16" s="26"/>
      <c r="I16" s="26"/>
      <c r="J16" s="26"/>
      <c r="K16" s="28"/>
      <c r="L16" s="28"/>
      <c r="M16" s="28"/>
      <c r="N16" s="26"/>
      <c r="O16" s="26"/>
      <c r="P16" s="28"/>
      <c r="Q16" s="28"/>
      <c r="R16" s="28"/>
      <c r="S16" s="28"/>
      <c r="T16" s="60"/>
      <c r="U16" s="26"/>
      <c r="V16" s="26"/>
      <c r="W16" s="26"/>
      <c r="X16" s="20"/>
      <c r="Y16" s="26"/>
      <c r="Z16" s="26"/>
    </row>
    <row r="17" spans="1:26" x14ac:dyDescent="0.2">
      <c r="A17" s="26"/>
      <c r="B17" s="26"/>
      <c r="C17" s="26"/>
      <c r="D17" s="26"/>
      <c r="E17" s="26"/>
      <c r="F17" s="26"/>
      <c r="G17" s="26"/>
      <c r="H17" s="26"/>
      <c r="I17" s="26"/>
      <c r="J17" s="26"/>
      <c r="K17" s="28"/>
      <c r="L17" s="28"/>
      <c r="M17" s="28"/>
      <c r="N17" s="26"/>
      <c r="O17" s="26"/>
      <c r="P17" s="28"/>
      <c r="Q17" s="28"/>
      <c r="R17" s="28"/>
      <c r="S17" s="28"/>
      <c r="T17" s="60"/>
      <c r="U17" s="26"/>
      <c r="V17" s="26"/>
      <c r="W17" s="26"/>
      <c r="X17" s="20"/>
      <c r="Y17" s="26"/>
      <c r="Z17" s="26"/>
    </row>
    <row r="18" spans="1:26" x14ac:dyDescent="0.2">
      <c r="A18" s="26"/>
      <c r="B18" s="26"/>
      <c r="C18" s="26"/>
      <c r="D18" s="26"/>
      <c r="E18" s="26"/>
      <c r="F18" s="26"/>
      <c r="G18" s="26"/>
      <c r="H18" s="26"/>
      <c r="I18" s="26"/>
      <c r="J18" s="26"/>
      <c r="K18" s="28"/>
      <c r="L18" s="28"/>
      <c r="M18" s="28"/>
      <c r="N18" s="26"/>
      <c r="O18" s="26"/>
      <c r="P18" s="28"/>
      <c r="Q18" s="28"/>
      <c r="R18" s="28"/>
      <c r="S18" s="28"/>
      <c r="T18" s="60"/>
      <c r="U18" s="26"/>
      <c r="V18" s="26"/>
      <c r="W18" s="26"/>
      <c r="X18" s="20"/>
      <c r="Y18" s="26"/>
      <c r="Z18" s="26"/>
    </row>
    <row r="19" spans="1:26" x14ac:dyDescent="0.2">
      <c r="A19" s="26"/>
      <c r="B19" s="26"/>
      <c r="C19" s="26"/>
      <c r="D19" s="26"/>
      <c r="E19" s="26"/>
      <c r="F19" s="26"/>
      <c r="G19" s="26"/>
      <c r="H19" s="26"/>
      <c r="I19" s="26"/>
      <c r="J19" s="26"/>
      <c r="K19" s="28"/>
      <c r="L19" s="28"/>
      <c r="M19" s="28"/>
      <c r="N19" s="26"/>
      <c r="O19" s="26"/>
      <c r="P19" s="28"/>
      <c r="Q19" s="28"/>
      <c r="R19" s="28"/>
      <c r="S19" s="28"/>
      <c r="T19" s="60"/>
      <c r="U19" s="26"/>
      <c r="V19" s="26"/>
      <c r="W19" s="26"/>
      <c r="X19" s="20"/>
      <c r="Y19" s="26"/>
      <c r="Z19" s="26"/>
    </row>
    <row r="20" spans="1:26" x14ac:dyDescent="0.2">
      <c r="A20" s="26"/>
      <c r="B20" s="26"/>
      <c r="C20" s="26"/>
      <c r="D20" s="26"/>
      <c r="E20" s="26"/>
      <c r="F20" s="26"/>
      <c r="G20" s="26"/>
      <c r="H20" s="26"/>
      <c r="I20" s="26"/>
      <c r="J20" s="26"/>
      <c r="K20" s="28"/>
      <c r="L20" s="28"/>
      <c r="M20" s="28"/>
      <c r="N20" s="26"/>
      <c r="O20" s="26"/>
      <c r="P20" s="28"/>
      <c r="Q20" s="28"/>
      <c r="R20" s="28"/>
      <c r="S20" s="28"/>
      <c r="T20" s="60"/>
      <c r="U20" s="26"/>
      <c r="V20" s="26"/>
      <c r="W20" s="26"/>
      <c r="X20" s="20"/>
      <c r="Y20" s="26"/>
      <c r="Z20" s="26"/>
    </row>
    <row r="21" spans="1:26" x14ac:dyDescent="0.2">
      <c r="A21" s="26"/>
      <c r="B21" s="26"/>
      <c r="C21" s="26"/>
      <c r="D21" s="26"/>
      <c r="E21" s="26"/>
      <c r="F21" s="26"/>
      <c r="G21" s="26"/>
      <c r="H21" s="26"/>
      <c r="I21" s="26"/>
      <c r="J21" s="26"/>
      <c r="K21" s="28"/>
      <c r="L21" s="28"/>
      <c r="M21" s="28"/>
      <c r="N21" s="26"/>
      <c r="O21" s="26"/>
      <c r="P21" s="28"/>
      <c r="Q21" s="28"/>
      <c r="R21" s="28"/>
      <c r="S21" s="28"/>
      <c r="T21" s="60"/>
      <c r="U21" s="26"/>
      <c r="V21" s="26"/>
      <c r="W21" s="26"/>
      <c r="X21" s="20"/>
      <c r="Y21" s="26"/>
      <c r="Z21" s="26"/>
    </row>
    <row r="22" spans="1:26" x14ac:dyDescent="0.2">
      <c r="A22" s="26"/>
      <c r="B22" s="26"/>
      <c r="C22" s="26"/>
      <c r="D22" s="26"/>
      <c r="E22" s="26"/>
      <c r="F22" s="26"/>
      <c r="G22" s="26"/>
      <c r="H22" s="26"/>
      <c r="I22" s="26"/>
      <c r="J22" s="26"/>
      <c r="K22" s="28"/>
      <c r="L22" s="28"/>
      <c r="M22" s="28"/>
      <c r="N22" s="26"/>
      <c r="O22" s="26"/>
      <c r="P22" s="28"/>
      <c r="Q22" s="28"/>
      <c r="R22" s="28"/>
      <c r="S22" s="28"/>
      <c r="T22" s="60"/>
      <c r="U22" s="26"/>
      <c r="V22" s="26"/>
      <c r="W22" s="26"/>
      <c r="X22" s="20"/>
      <c r="Y22" s="26"/>
      <c r="Z22" s="26"/>
    </row>
    <row r="23" spans="1:26" x14ac:dyDescent="0.2">
      <c r="A23" s="26"/>
      <c r="B23" s="26"/>
      <c r="C23" s="26"/>
      <c r="D23" s="26"/>
      <c r="E23" s="26"/>
      <c r="F23" s="26"/>
      <c r="G23" s="26"/>
      <c r="H23" s="26"/>
      <c r="I23" s="26"/>
      <c r="J23" s="26"/>
      <c r="K23" s="28"/>
      <c r="L23" s="28"/>
      <c r="M23" s="28"/>
      <c r="N23" s="26"/>
      <c r="O23" s="26"/>
      <c r="P23" s="28"/>
      <c r="Q23" s="28"/>
      <c r="R23" s="28"/>
      <c r="S23" s="28"/>
      <c r="T23" s="60"/>
      <c r="U23" s="26"/>
      <c r="V23" s="26"/>
      <c r="W23" s="26"/>
      <c r="X23" s="20"/>
      <c r="Y23" s="26"/>
      <c r="Z23" s="26"/>
    </row>
    <row r="24" spans="1:26" x14ac:dyDescent="0.2">
      <c r="A24" s="26"/>
      <c r="B24" s="26"/>
      <c r="C24" s="26"/>
      <c r="D24" s="26"/>
      <c r="E24" s="26"/>
      <c r="F24" s="26"/>
      <c r="G24" s="26"/>
      <c r="H24" s="26"/>
      <c r="I24" s="26"/>
      <c r="J24" s="26"/>
      <c r="K24" s="28"/>
      <c r="L24" s="28"/>
      <c r="M24" s="28"/>
      <c r="N24" s="26"/>
      <c r="O24" s="26"/>
      <c r="P24" s="28"/>
      <c r="Q24" s="28"/>
      <c r="R24" s="28"/>
      <c r="S24" s="28"/>
      <c r="T24" s="60"/>
      <c r="U24" s="26"/>
      <c r="V24" s="26"/>
      <c r="W24" s="26"/>
      <c r="X24" s="20"/>
      <c r="Y24" s="26"/>
      <c r="Z24" s="26"/>
    </row>
    <row r="25" spans="1:26" x14ac:dyDescent="0.2">
      <c r="A25" s="26"/>
      <c r="B25" s="26"/>
      <c r="C25" s="26"/>
      <c r="D25" s="26"/>
      <c r="E25" s="26"/>
      <c r="F25" s="26"/>
      <c r="G25" s="26"/>
      <c r="H25" s="26"/>
      <c r="I25" s="26"/>
      <c r="J25" s="26"/>
      <c r="K25" s="28"/>
      <c r="L25" s="28"/>
      <c r="M25" s="28"/>
      <c r="N25" s="26"/>
      <c r="O25" s="26"/>
      <c r="P25" s="28"/>
      <c r="Q25" s="28"/>
      <c r="R25" s="28"/>
      <c r="S25" s="28"/>
      <c r="T25" s="60"/>
      <c r="U25" s="26"/>
      <c r="V25" s="26"/>
      <c r="W25" s="26"/>
      <c r="X25" s="20"/>
      <c r="Y25" s="26"/>
      <c r="Z25" s="26"/>
    </row>
    <row r="26" spans="1:26" x14ac:dyDescent="0.2">
      <c r="A26" s="26"/>
      <c r="B26" s="26"/>
      <c r="C26" s="26"/>
      <c r="D26" s="26"/>
      <c r="E26" s="26"/>
      <c r="F26" s="26"/>
      <c r="G26" s="26"/>
      <c r="H26" s="26"/>
      <c r="I26" s="26"/>
      <c r="J26" s="26"/>
      <c r="K26" s="28"/>
      <c r="L26" s="28"/>
      <c r="M26" s="28"/>
      <c r="N26" s="26"/>
      <c r="O26" s="26"/>
      <c r="P26" s="28"/>
      <c r="Q26" s="28"/>
      <c r="R26" s="28"/>
      <c r="S26" s="28"/>
      <c r="T26" s="60"/>
      <c r="U26" s="26"/>
      <c r="V26" s="26"/>
      <c r="W26" s="26"/>
      <c r="X26" s="20"/>
      <c r="Y26" s="26"/>
      <c r="Z26" s="26"/>
    </row>
    <row r="27" spans="1:26" x14ac:dyDescent="0.2">
      <c r="A27" s="26"/>
      <c r="B27" s="26"/>
      <c r="C27" s="26"/>
      <c r="D27" s="26"/>
      <c r="E27" s="26"/>
      <c r="F27" s="26"/>
      <c r="G27" s="26"/>
      <c r="H27" s="26"/>
      <c r="I27" s="26"/>
      <c r="J27" s="26"/>
      <c r="K27" s="28"/>
      <c r="L27" s="28"/>
      <c r="M27" s="28"/>
      <c r="N27" s="26"/>
      <c r="O27" s="26"/>
      <c r="P27" s="28"/>
      <c r="Q27" s="28"/>
      <c r="R27" s="28"/>
      <c r="S27" s="28"/>
      <c r="T27" s="60"/>
      <c r="U27" s="26"/>
      <c r="V27" s="26"/>
      <c r="W27" s="26"/>
      <c r="X27" s="20"/>
      <c r="Y27" s="26"/>
      <c r="Z27" s="26"/>
    </row>
    <row r="28" spans="1:26" x14ac:dyDescent="0.2">
      <c r="A28" s="26"/>
      <c r="B28" s="26"/>
      <c r="C28" s="26"/>
      <c r="D28" s="26"/>
      <c r="E28" s="26"/>
      <c r="F28" s="26"/>
      <c r="G28" s="26"/>
      <c r="H28" s="26"/>
      <c r="I28" s="26"/>
      <c r="J28" s="26"/>
      <c r="K28" s="28"/>
      <c r="L28" s="28"/>
      <c r="M28" s="28"/>
      <c r="N28" s="26"/>
      <c r="O28" s="26"/>
      <c r="P28" s="28"/>
      <c r="Q28" s="28"/>
      <c r="R28" s="28"/>
      <c r="S28" s="28"/>
      <c r="T28" s="60"/>
      <c r="U28" s="26"/>
      <c r="V28" s="26"/>
      <c r="W28" s="26"/>
      <c r="X28" s="20"/>
      <c r="Y28" s="26"/>
      <c r="Z28" s="26"/>
    </row>
    <row r="29" spans="1:26" x14ac:dyDescent="0.2">
      <c r="A29" s="26"/>
      <c r="B29" s="26"/>
      <c r="C29" s="26"/>
      <c r="D29" s="26"/>
      <c r="E29" s="26"/>
      <c r="F29" s="26"/>
      <c r="G29" s="26"/>
      <c r="H29" s="26"/>
      <c r="I29" s="26"/>
      <c r="J29" s="26"/>
      <c r="K29" s="28"/>
      <c r="L29" s="28"/>
      <c r="M29" s="28"/>
      <c r="N29" s="26"/>
      <c r="O29" s="26"/>
      <c r="P29" s="28"/>
      <c r="Q29" s="28"/>
      <c r="R29" s="28"/>
      <c r="S29" s="28"/>
      <c r="T29" s="60"/>
      <c r="U29" s="26"/>
      <c r="V29" s="26"/>
      <c r="W29" s="26"/>
      <c r="X29" s="20"/>
      <c r="Y29" s="26"/>
      <c r="Z29" s="26"/>
    </row>
    <row r="30" spans="1:26" x14ac:dyDescent="0.2">
      <c r="A30" s="26"/>
      <c r="B30" s="26"/>
      <c r="C30" s="26"/>
      <c r="D30" s="26"/>
      <c r="E30" s="26"/>
      <c r="F30" s="26"/>
      <c r="G30" s="26"/>
      <c r="H30" s="26"/>
      <c r="I30" s="26"/>
      <c r="J30" s="26"/>
      <c r="K30" s="28"/>
      <c r="L30" s="28"/>
      <c r="M30" s="28"/>
      <c r="N30" s="26"/>
      <c r="O30" s="26"/>
      <c r="P30" s="28"/>
      <c r="Q30" s="28"/>
      <c r="R30" s="28"/>
      <c r="S30" s="28"/>
      <c r="T30" s="60"/>
      <c r="U30" s="26"/>
      <c r="V30" s="26"/>
      <c r="W30" s="26"/>
      <c r="X30" s="20"/>
      <c r="Y30" s="26"/>
      <c r="Z30" s="26"/>
    </row>
    <row r="31" spans="1:26" x14ac:dyDescent="0.2">
      <c r="A31" s="26"/>
      <c r="B31" s="26"/>
      <c r="C31" s="26"/>
      <c r="D31" s="26"/>
      <c r="E31" s="26"/>
      <c r="F31" s="26"/>
      <c r="G31" s="26"/>
      <c r="H31" s="26"/>
      <c r="I31" s="26"/>
      <c r="J31" s="26"/>
      <c r="K31" s="28"/>
      <c r="L31" s="28"/>
      <c r="M31" s="28"/>
      <c r="N31" s="26"/>
      <c r="O31" s="26"/>
      <c r="P31" s="28"/>
      <c r="Q31" s="28"/>
      <c r="R31" s="28"/>
      <c r="S31" s="28"/>
      <c r="T31" s="60"/>
      <c r="U31" s="26"/>
      <c r="V31" s="26"/>
      <c r="W31" s="26"/>
      <c r="X31" s="20"/>
      <c r="Y31" s="26"/>
      <c r="Z31" s="26"/>
    </row>
    <row r="32" spans="1:26" x14ac:dyDescent="0.2">
      <c r="A32" s="26"/>
      <c r="B32" s="26"/>
      <c r="C32" s="26"/>
      <c r="D32" s="26"/>
      <c r="E32" s="26"/>
      <c r="F32" s="26"/>
      <c r="G32" s="26"/>
      <c r="H32" s="26"/>
      <c r="I32" s="26"/>
      <c r="J32" s="26"/>
      <c r="K32" s="28"/>
      <c r="L32" s="28"/>
      <c r="M32" s="28"/>
      <c r="N32" s="26"/>
      <c r="O32" s="26"/>
      <c r="P32" s="28"/>
      <c r="Q32" s="28"/>
      <c r="R32" s="28"/>
      <c r="S32" s="28"/>
      <c r="T32" s="60"/>
      <c r="U32" s="26"/>
      <c r="V32" s="26"/>
      <c r="W32" s="26"/>
      <c r="X32" s="20"/>
      <c r="Y32" s="26"/>
      <c r="Z32" s="26"/>
    </row>
    <row r="33" spans="1:26" x14ac:dyDescent="0.2">
      <c r="A33" s="26"/>
      <c r="B33" s="26"/>
      <c r="C33" s="26"/>
      <c r="D33" s="26"/>
      <c r="E33" s="26"/>
      <c r="F33" s="26"/>
      <c r="G33" s="26"/>
      <c r="H33" s="26"/>
      <c r="I33" s="26"/>
      <c r="J33" s="26"/>
      <c r="K33" s="28"/>
      <c r="L33" s="28"/>
      <c r="M33" s="28"/>
      <c r="N33" s="26"/>
      <c r="O33" s="26"/>
      <c r="P33" s="28"/>
      <c r="Q33" s="28"/>
      <c r="R33" s="28"/>
      <c r="S33" s="28"/>
      <c r="T33" s="60"/>
      <c r="U33" s="26"/>
      <c r="V33" s="26"/>
      <c r="W33" s="26"/>
      <c r="X33" s="20"/>
      <c r="Y33" s="26"/>
      <c r="Z33" s="26"/>
    </row>
    <row r="34" spans="1:26" x14ac:dyDescent="0.2">
      <c r="A34" s="57"/>
      <c r="B34" s="57"/>
      <c r="C34" s="57"/>
      <c r="D34" s="57"/>
      <c r="E34" s="57"/>
      <c r="F34" s="57"/>
      <c r="G34" s="57"/>
      <c r="H34" s="57"/>
      <c r="I34" s="57"/>
      <c r="J34" s="57"/>
      <c r="K34" s="58"/>
      <c r="L34" s="58"/>
      <c r="M34" s="58"/>
      <c r="N34" s="26"/>
      <c r="O34" s="26"/>
      <c r="P34" s="58"/>
      <c r="Q34" s="28"/>
      <c r="R34" s="58"/>
      <c r="S34" s="58"/>
      <c r="T34" s="65"/>
      <c r="U34" s="57"/>
      <c r="V34" s="57"/>
      <c r="W34" s="57"/>
      <c r="X34" s="59"/>
      <c r="Y34" s="57"/>
      <c r="Z34" s="57"/>
    </row>
    <row r="35" spans="1:26" s="62" customFormat="1" ht="15" x14ac:dyDescent="0.2">
      <c r="A35" s="26"/>
      <c r="B35" s="26"/>
      <c r="C35" s="26"/>
      <c r="D35" s="26"/>
      <c r="E35" s="26"/>
      <c r="F35" s="26"/>
      <c r="G35" s="26"/>
      <c r="H35" s="26"/>
      <c r="I35" s="26"/>
      <c r="J35" s="26"/>
      <c r="K35" s="28"/>
      <c r="L35" s="28"/>
      <c r="M35" s="54"/>
      <c r="N35" s="27"/>
      <c r="O35" s="27"/>
      <c r="P35" s="63"/>
      <c r="Q35" s="29"/>
      <c r="R35" s="53"/>
      <c r="S35" s="53"/>
      <c r="T35" s="60"/>
      <c r="U35" s="66"/>
      <c r="V35" s="61"/>
      <c r="W35" s="61"/>
      <c r="X35" s="67"/>
      <c r="Y35" s="60"/>
      <c r="Z35" s="26"/>
    </row>
    <row r="36" spans="1:26" x14ac:dyDescent="0.2">
      <c r="A36" s="27"/>
      <c r="B36" s="27"/>
      <c r="C36" s="27"/>
      <c r="D36" s="27"/>
      <c r="E36" s="27"/>
      <c r="F36" s="27"/>
      <c r="G36" s="27"/>
      <c r="H36" s="27"/>
      <c r="I36" s="27"/>
      <c r="J36" s="27"/>
      <c r="K36" s="29"/>
      <c r="L36" s="29"/>
      <c r="M36" s="29"/>
      <c r="N36" s="27"/>
      <c r="O36" s="27"/>
      <c r="P36" s="29"/>
      <c r="Q36" s="29"/>
      <c r="R36" s="29"/>
      <c r="S36" s="29"/>
      <c r="T36" s="55"/>
      <c r="U36" s="27"/>
      <c r="V36" s="27"/>
      <c r="W36" s="27"/>
      <c r="X36" s="18"/>
      <c r="Y36" s="27"/>
      <c r="Z36" s="27"/>
    </row>
  </sheetData>
  <mergeCells count="4">
    <mergeCell ref="C1:K1"/>
    <mergeCell ref="L1:L2"/>
    <mergeCell ref="M1:M2"/>
    <mergeCell ref="N1:Z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D8EAA5322C174458769569D5C5B63B4" ma:contentTypeVersion="64" ma:contentTypeDescription="Create a new document." ma:contentTypeScope="" ma:versionID="4768e19684e586aef01334e28879f87b">
  <xsd:schema xmlns:xsd="http://www.w3.org/2001/XMLSchema" xmlns:xs="http://www.w3.org/2001/XMLSchema" xmlns:p="http://schemas.microsoft.com/office/2006/metadata/properties" xmlns:ns1="http://schemas.microsoft.com/sharepoint/v3" xmlns:ns2="79e0c52a-2ba3-484a-a568-f1289ea68a52" xmlns:ns3="0697908a-1a4f-4ddc-85ad-1453b5b5a444" xmlns:ns4="a6701ddf-7017-4915-84ed-2c87dec8a8ab" targetNamespace="http://schemas.microsoft.com/office/2006/metadata/properties" ma:root="true" ma:fieldsID="bfa585859476cc123c8aabf1216dfd36" ns1:_="" ns2:_="" ns3:_="" ns4:_="">
    <xsd:import namespace="http://schemas.microsoft.com/sharepoint/v3"/>
    <xsd:import namespace="79e0c52a-2ba3-484a-a568-f1289ea68a52"/>
    <xsd:import namespace="0697908a-1a4f-4ddc-85ad-1453b5b5a444"/>
    <xsd:import namespace="a6701ddf-7017-4915-84ed-2c87dec8a8ab"/>
    <xsd:element name="properties">
      <xsd:complexType>
        <xsd:sequence>
          <xsd:element name="documentManagement">
            <xsd:complexType>
              <xsd:all>
                <xsd:element ref="ns2:SharedWithUsers" minOccurs="0"/>
                <xsd:element ref="ns2:SharedWithDetails" minOccurs="0"/>
                <xsd:element ref="ns3:SPDataClassification" minOccurs="0"/>
                <xsd:element ref="ns4:MediaServiceMetadata" minOccurs="0"/>
                <xsd:element ref="ns4:MediaServiceFastMetadata" minOccurs="0"/>
                <xsd:element ref="ns4:MediaServiceSearchProperties" minOccurs="0"/>
                <xsd:element ref="ns4:MediaServiceObjectDetectorVersions" minOccurs="0"/>
                <xsd:element ref="ns1:_ip_UnifiedCompliancePolicyProperties" minOccurs="0"/>
                <xsd:element ref="ns1:_ip_UnifiedCompliancePolicyUIAction" minOccurs="0"/>
                <xsd:element ref="ns4:MediaServiceDateTaken"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0c52a-2ba3-484a-a568-f1289ea68a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97908a-1a4f-4ddc-85ad-1453b5b5a444" elementFormDefault="qualified">
    <xsd:import namespace="http://schemas.microsoft.com/office/2006/documentManagement/types"/>
    <xsd:import namespace="http://schemas.microsoft.com/office/infopath/2007/PartnerControls"/>
    <xsd:element name="SPDataClassification" ma:index="10" nillable="true" ma:displayName="SPDataClassification" ma:internalName="SPDataClassifica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01ddf-7017-4915-84ed-2c87dec8a8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SPDataClassification xmlns="0697908a-1a4f-4ddc-85ad-1453b5b5a444">Internal</SPDataClassification>
    <_ip_UnifiedCompliancePolicyUIAction xmlns="http://schemas.microsoft.com/sharepoint/v3" xsi:nil="true"/>
    <_ip_UnifiedCompliancePolicyProperties xmlns="http://schemas.microsoft.com/sharepoint/v3" xsi:nil="true"/>
    <SharedWithUsers xmlns="79e0c52a-2ba3-484a-a568-f1289ea68a52">
      <UserInfo>
        <DisplayName/>
        <AccountId xsi:nil="true"/>
        <AccountType/>
      </UserInfo>
    </SharedWithUsers>
    <MediaLengthInSeconds xmlns="a6701ddf-7017-4915-84ed-2c87dec8a8ab" xsi:nil="true"/>
  </documentManagement>
</p:properties>
</file>

<file path=customXml/item4.xml><?xml version="1.0" encoding="utf-8"?>
<titus xmlns="http://schemas.titus.com/TitusProperties/">
  <TitusGUID xmlns="">9a600ab8-a4ce-4683-a40c-c30888e94e34</TitusGUID>
  <TitusMetadata xmlns="">eyJucyI6Imh0dHA6XC9cL3d3dy50aXR1cy5jb20iLCJwcm9wcyI6W3sibiI6IkRhdGFSaXNrQ2xhc3NpZmljYXRpb24iLCJ2YWxzIjpbeyJ2YWx1ZSI6IkludGVybmFsIn1dfV19</TitusMetadata>
</titus>
</file>

<file path=customXml/itemProps1.xml><?xml version="1.0" encoding="utf-8"?>
<ds:datastoreItem xmlns:ds="http://schemas.openxmlformats.org/officeDocument/2006/customXml" ds:itemID="{FFBAB5A5-9E4A-4D28-8B0B-D9D2738FDECB}">
  <ds:schemaRefs>
    <ds:schemaRef ds:uri="http://schemas.microsoft.com/sharepoint/v3/contenttype/forms"/>
  </ds:schemaRefs>
</ds:datastoreItem>
</file>

<file path=customXml/itemProps2.xml><?xml version="1.0" encoding="utf-8"?>
<ds:datastoreItem xmlns:ds="http://schemas.openxmlformats.org/officeDocument/2006/customXml" ds:itemID="{CCE05A59-CB69-44D3-B398-8FD60C231A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e0c52a-2ba3-484a-a568-f1289ea68a52"/>
    <ds:schemaRef ds:uri="0697908a-1a4f-4ddc-85ad-1453b5b5a444"/>
    <ds:schemaRef ds:uri="a6701ddf-7017-4915-84ed-2c87dec8a8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EB8533-6C8C-441A-B81A-85C64959875A}">
  <ds:schemaRefs>
    <ds:schemaRef ds:uri="http://schemas.microsoft.com/office/2006/metadata/properties"/>
    <ds:schemaRef ds:uri="0697908a-1a4f-4ddc-85ad-1453b5b5a444"/>
    <ds:schemaRef ds:uri="http://schemas.microsoft.com/sharepoint/v3"/>
    <ds:schemaRef ds:uri="79e0c52a-2ba3-484a-a568-f1289ea68a52"/>
    <ds:schemaRef ds:uri="a6701ddf-7017-4915-84ed-2c87dec8a8ab"/>
  </ds:schemaRefs>
</ds:datastoreItem>
</file>

<file path=customXml/itemProps4.xml><?xml version="1.0" encoding="utf-8"?>
<ds:datastoreItem xmlns:ds="http://schemas.openxmlformats.org/officeDocument/2006/customXml" ds:itemID="{1EB61E8B-963A-4176-A259-5FDEEA5A29AB}">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100</vt:lpstr>
      <vt:lpstr>200</vt:lpstr>
      <vt:lpstr>300</vt:lpstr>
      <vt:lpstr>500</vt:lpstr>
      <vt:lpstr>605</vt:lpstr>
      <vt:lpstr>700</vt:lpstr>
      <vt:lpstr>900</vt:lpstr>
      <vt:lpstr>060</vt:lpstr>
    </vt:vector>
  </TitlesOfParts>
  <Manager/>
  <Company>SunTrust Banks,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Mapping</dc:title>
  <dc:subject/>
  <dc:creator/>
  <cp:keywords/>
  <dc:description/>
  <cp:lastModifiedBy/>
  <cp:revision/>
  <dcterms:created xsi:type="dcterms:W3CDTF">2014-10-14T18:10:07Z</dcterms:created>
  <dcterms:modified xsi:type="dcterms:W3CDTF">2026-05-15T20:29:37Z</dcterms:modified>
  <cp:category/>
  <cp:contentStatus>Approved</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0x0101002D8EAA5322C174458769569D5C5B63B4</vt:lpwstr>
  </property>
  <property fmtid="{D5CDD505-2E9C-101B-9397-08002B2CF9AE}" pid="3" name="Order">
    <vt:r8>1300</vt:r8>
  </property>
  <property fmtid="{D5CDD505-2E9C-101B-9397-08002B2CF9AE}" pid="4" name="TaxKeyword">
    <vt:lpwstr/>
  </property>
  <property fmtid="{D5CDD505-2E9C-101B-9397-08002B2CF9AE}" pid="5" name="da081dfdd8894d9a9f547b3926140077">
    <vt:lpwstr>2|88c9ea6d-3f0b-44f9-a78a-acdbe6e053d4</vt:lpwstr>
  </property>
  <property fmtid="{D5CDD505-2E9C-101B-9397-08002B2CF9AE}" pid="6" name="Retention Years">
    <vt:lpwstr>2;#2|88c9ea6d-3f0b-44f9-a78a-acdbe6e053d4</vt:lpwstr>
  </property>
  <property fmtid="{D5CDD505-2E9C-101B-9397-08002B2CF9AE}" pid="7" name="TitusGUID">
    <vt:lpwstr>9a600ab8-a4ce-4683-a40c-c30888e94e34</vt:lpwstr>
  </property>
  <property fmtid="{D5CDD505-2E9C-101B-9397-08002B2CF9AE}" pid="8" name="DataRiskClassification">
    <vt:lpwstr>Internal</vt:lpwstr>
  </property>
  <property fmtid="{D5CDD505-2E9C-101B-9397-08002B2CF9AE}" pid="9" name="GUID">
    <vt:lpwstr>52b6d86c-0810-4fec-acf3-710ed4019696</vt:lpwstr>
  </property>
  <property fmtid="{D5CDD505-2E9C-101B-9397-08002B2CF9AE}" pid="10" name="xd_Signature">
    <vt:bool>false</vt:bool>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MSIP_Label_969470b0-bbf6-4f0d-91d5-94cc81c0bcdc_Name">
    <vt:lpwstr>Internal</vt:lpwstr>
  </property>
  <property fmtid="{D5CDD505-2E9C-101B-9397-08002B2CF9AE}" pid="17" name="MSIP_Label_969470b0-bbf6-4f0d-91d5-94cc81c0bcdc_ActionId">
    <vt:lpwstr>7de9cdc0-4776-4407-b5eb-ce0d4cc3b0e2</vt:lpwstr>
  </property>
  <property fmtid="{D5CDD505-2E9C-101B-9397-08002B2CF9AE}" pid="18" name="MSIP_Label_969470b0-bbf6-4f0d-91d5-94cc81c0bcdc_SiteId">
    <vt:lpwstr>55651e97-f81c-4b3b-9131-af8a1cd02346</vt:lpwstr>
  </property>
  <property fmtid="{D5CDD505-2E9C-101B-9397-08002B2CF9AE}" pid="19" name="MSIP_Label_969470b0-bbf6-4f0d-91d5-94cc81c0bcdc_Method">
    <vt:lpwstr>Privileged</vt:lpwstr>
  </property>
  <property fmtid="{D5CDD505-2E9C-101B-9397-08002B2CF9AE}" pid="20" name="MSIP_Label_969470b0-bbf6-4f0d-91d5-94cc81c0bcdc_ContentBits">
    <vt:lpwstr>1</vt:lpwstr>
  </property>
  <property fmtid="{D5CDD505-2E9C-101B-9397-08002B2CF9AE}" pid="21" name="MSIP_Label_969470b0-bbf6-4f0d-91d5-94cc81c0bcdc_Tag">
    <vt:lpwstr>10, 0, 1, 2</vt:lpwstr>
  </property>
  <property fmtid="{D5CDD505-2E9C-101B-9397-08002B2CF9AE}" pid="22" name="MSIP_Label_969470b0-bbf6-4f0d-91d5-94cc81c0bcdc_Enabled">
    <vt:lpwstr>true</vt:lpwstr>
  </property>
  <property fmtid="{D5CDD505-2E9C-101B-9397-08002B2CF9AE}" pid="23" name="MSIP_Label_969470b0-bbf6-4f0d-91d5-94cc81c0bcdc_SetDate">
    <vt:lpwstr>2025-08-21T15:57:05Z</vt:lpwstr>
  </property>
  <property fmtid="{D5CDD505-2E9C-101B-9397-08002B2CF9AE}" pid="24" name="MSIP_Label_bc53fd28-7c6c-4226-ba59-0a48113e59e0_Enabled">
    <vt:lpwstr>true</vt:lpwstr>
  </property>
  <property fmtid="{D5CDD505-2E9C-101B-9397-08002B2CF9AE}" pid="25" name="MSIP_Label_bc53fd28-7c6c-4226-ba59-0a48113e59e0_SetDate">
    <vt:lpwstr>2026-01-29T14:58:03Z</vt:lpwstr>
  </property>
  <property fmtid="{D5CDD505-2E9C-101B-9397-08002B2CF9AE}" pid="26" name="MSIP_Label_bc53fd28-7c6c-4226-ba59-0a48113e59e0_Method">
    <vt:lpwstr>Privileged</vt:lpwstr>
  </property>
  <property fmtid="{D5CDD505-2E9C-101B-9397-08002B2CF9AE}" pid="27" name="MSIP_Label_bc53fd28-7c6c-4226-ba59-0a48113e59e0_Name">
    <vt:lpwstr>Private</vt:lpwstr>
  </property>
  <property fmtid="{D5CDD505-2E9C-101B-9397-08002B2CF9AE}" pid="28" name="MSIP_Label_bc53fd28-7c6c-4226-ba59-0a48113e59e0_SiteId">
    <vt:lpwstr>55651e97-f81c-4b3b-9131-af8a1cd02346</vt:lpwstr>
  </property>
  <property fmtid="{D5CDD505-2E9C-101B-9397-08002B2CF9AE}" pid="29" name="MSIP_Label_bc53fd28-7c6c-4226-ba59-0a48113e59e0_ActionId">
    <vt:lpwstr>49ecdba8-3984-4747-b249-88c556c0c3a0</vt:lpwstr>
  </property>
  <property fmtid="{D5CDD505-2E9C-101B-9397-08002B2CF9AE}" pid="30" name="MSIP_Label_bc53fd28-7c6c-4226-ba59-0a48113e59e0_ContentBits">
    <vt:lpwstr>0</vt:lpwstr>
  </property>
  <property fmtid="{D5CDD505-2E9C-101B-9397-08002B2CF9AE}" pid="31" name="MSIP_Label_bc53fd28-7c6c-4226-ba59-0a48113e59e0_Tag">
    <vt:lpwstr>10, 2, 1, 2</vt:lpwstr>
  </property>
</Properties>
</file>